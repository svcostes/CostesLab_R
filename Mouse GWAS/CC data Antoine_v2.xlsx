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E:\Sylvain_Backup\Papers\GWAS_Repair_CosmicRad\"/>
    </mc:Choice>
  </mc:AlternateContent>
  <bookViews>
    <workbookView xWindow="0" yWindow="0" windowWidth="20490" windowHeight="7320" tabRatio="500"/>
  </bookViews>
  <sheets>
    <sheet name="Sheet1" sheetId="1" r:id="rId1"/>
  </sheets>
  <definedNames>
    <definedName name="_xlnm._FilterDatabase" localSheetId="0" hidden="1">Sheet1!$F$1:$F$687</definedName>
  </definedNames>
  <calcPr calcId="162913"/>
</workbook>
</file>

<file path=xl/calcChain.xml><?xml version="1.0" encoding="utf-8"?>
<calcChain xmlns="http://schemas.openxmlformats.org/spreadsheetml/2006/main">
  <c r="AE41" i="1" l="1"/>
  <c r="M15" i="1" l="1"/>
  <c r="N15" i="1"/>
  <c r="O15" i="1"/>
  <c r="M16" i="1"/>
  <c r="N16" i="1"/>
  <c r="O16" i="1"/>
  <c r="M17" i="1"/>
  <c r="N17" i="1"/>
  <c r="O17" i="1"/>
  <c r="M18" i="1"/>
  <c r="N18" i="1"/>
  <c r="O18" i="1"/>
  <c r="M19" i="1"/>
  <c r="N19" i="1"/>
  <c r="O19" i="1"/>
  <c r="M20" i="1"/>
  <c r="N20" i="1"/>
  <c r="O20" i="1"/>
  <c r="M21" i="1"/>
  <c r="N21" i="1"/>
  <c r="O21" i="1"/>
  <c r="M22" i="1"/>
  <c r="N22" i="1"/>
  <c r="O22" i="1"/>
  <c r="M23" i="1"/>
  <c r="N23" i="1"/>
  <c r="O23" i="1"/>
  <c r="O14" i="1"/>
  <c r="N14" i="1"/>
  <c r="M14" i="1"/>
  <c r="M3" i="1"/>
  <c r="N3" i="1"/>
  <c r="O3" i="1"/>
  <c r="M4" i="1"/>
  <c r="N4" i="1"/>
  <c r="O4" i="1"/>
  <c r="M5" i="1"/>
  <c r="N5" i="1"/>
  <c r="O5" i="1"/>
  <c r="M6" i="1"/>
  <c r="N6" i="1"/>
  <c r="O6" i="1"/>
  <c r="M7" i="1"/>
  <c r="N7" i="1"/>
  <c r="O7" i="1"/>
  <c r="M8" i="1"/>
  <c r="N8" i="1"/>
  <c r="O8" i="1"/>
  <c r="M9" i="1"/>
  <c r="N9" i="1"/>
  <c r="O9" i="1"/>
  <c r="M10" i="1"/>
  <c r="N10" i="1"/>
  <c r="O10" i="1"/>
  <c r="M11" i="1"/>
  <c r="N11" i="1"/>
  <c r="O11" i="1"/>
  <c r="M2" i="1"/>
  <c r="O2" i="1"/>
  <c r="N2" i="1"/>
  <c r="AH36" i="1" l="1"/>
  <c r="AI36" i="1"/>
  <c r="AJ36" i="1"/>
  <c r="AC36" i="1"/>
  <c r="AK36" i="1"/>
  <c r="AG36" i="1"/>
  <c r="AD36" i="1"/>
  <c r="AF36" i="1"/>
  <c r="AE36" i="1"/>
  <c r="AH39" i="1"/>
  <c r="AI39" i="1"/>
  <c r="AJ39" i="1"/>
  <c r="AG39" i="1"/>
  <c r="AK39" i="1"/>
  <c r="AF39" i="1"/>
  <c r="AC39" i="1"/>
  <c r="AE39" i="1"/>
  <c r="AD39" i="1"/>
  <c r="AD35" i="1"/>
  <c r="AE35" i="1"/>
  <c r="AF35" i="1"/>
  <c r="AJ35" i="1"/>
  <c r="AG35" i="1"/>
  <c r="AH35" i="1"/>
  <c r="AI35" i="1"/>
  <c r="AK35" i="1"/>
  <c r="AC35" i="1"/>
  <c r="AC40" i="1"/>
  <c r="AD40" i="1"/>
  <c r="AI40" i="1"/>
  <c r="AJ40" i="1"/>
  <c r="AF40" i="1"/>
  <c r="AK40" i="1"/>
  <c r="AE40" i="1"/>
  <c r="AG40" i="1"/>
  <c r="AH40" i="1"/>
  <c r="P8" i="1"/>
  <c r="P18" i="1"/>
  <c r="Q6" i="1"/>
  <c r="Q14" i="1"/>
  <c r="Q22" i="1"/>
  <c r="Q18" i="1"/>
  <c r="P23" i="1"/>
  <c r="P19" i="1"/>
  <c r="P21" i="1"/>
  <c r="P17" i="1"/>
  <c r="Q16" i="1"/>
  <c r="Q11" i="1"/>
  <c r="P10" i="1"/>
  <c r="P6" i="1"/>
  <c r="Q5" i="1"/>
  <c r="Q3" i="1"/>
  <c r="Q21" i="1"/>
  <c r="Q15" i="1"/>
  <c r="P20" i="1"/>
  <c r="P16" i="1"/>
  <c r="P15" i="1"/>
  <c r="Q19" i="1"/>
  <c r="P22" i="1"/>
  <c r="Q23" i="1"/>
  <c r="P11" i="1"/>
  <c r="Q9" i="1"/>
  <c r="Q7" i="1"/>
  <c r="Q10" i="1"/>
  <c r="P9" i="1"/>
  <c r="Q8" i="1"/>
  <c r="P5" i="1"/>
  <c r="P4" i="1"/>
  <c r="Q17" i="1"/>
  <c r="Q20" i="1"/>
  <c r="P14" i="1"/>
  <c r="Q4" i="1"/>
  <c r="P7" i="1"/>
  <c r="P3" i="1"/>
  <c r="Q2" i="1"/>
  <c r="P2" i="1"/>
  <c r="AC42" i="1" l="1"/>
  <c r="AD38" i="1"/>
  <c r="AE38" i="1"/>
  <c r="AF38" i="1"/>
  <c r="AG38" i="1"/>
  <c r="AH38" i="1"/>
  <c r="AI38" i="1"/>
  <c r="AC38" i="1"/>
  <c r="AJ38" i="1"/>
  <c r="AK38" i="1"/>
  <c r="AD41" i="1"/>
  <c r="AF41" i="1"/>
  <c r="AJ41" i="1"/>
  <c r="AG41" i="1"/>
  <c r="AC41" i="1"/>
  <c r="AH41" i="1"/>
  <c r="AI41" i="1"/>
  <c r="AK41" i="1"/>
  <c r="AF37" i="1"/>
  <c r="AC37" i="1"/>
  <c r="AD37" i="1"/>
  <c r="AE37" i="1"/>
  <c r="AJ37" i="1"/>
  <c r="AG37" i="1"/>
  <c r="AK37" i="1"/>
  <c r="AH37" i="1"/>
  <c r="AI37" i="1"/>
  <c r="AH42" i="1"/>
  <c r="AI42" i="1"/>
  <c r="AJ42" i="1"/>
  <c r="AK42" i="1"/>
  <c r="AE42" i="1"/>
  <c r="AF42" i="1"/>
  <c r="AG42" i="1"/>
  <c r="AD42" i="1"/>
</calcChain>
</file>

<file path=xl/sharedStrings.xml><?xml version="1.0" encoding="utf-8"?>
<sst xmlns="http://schemas.openxmlformats.org/spreadsheetml/2006/main" count="2893" uniqueCount="101">
  <si>
    <t>Mouse Number</t>
    <phoneticPr fontId="0" type="noConversion"/>
  </si>
  <si>
    <t>Mouse Number</t>
  </si>
  <si>
    <t>Ear Tag</t>
  </si>
  <si>
    <t>sample collection date</t>
  </si>
  <si>
    <t>Sex</t>
  </si>
  <si>
    <t>CC001/Unc (OR13140)</t>
  </si>
  <si>
    <t>CC001</t>
  </si>
  <si>
    <t>MALE</t>
  </si>
  <si>
    <t>sham</t>
  </si>
  <si>
    <t>1Gy</t>
  </si>
  <si>
    <t>FEMALE</t>
  </si>
  <si>
    <t>10cGy</t>
  </si>
  <si>
    <t>CC002/Unc (OR15156)</t>
  </si>
  <si>
    <t>CC002</t>
  </si>
  <si>
    <t>CC008/GeniUnc (AU8036)</t>
  </si>
  <si>
    <t>CC008</t>
  </si>
  <si>
    <t>CC011/Unc (OR3252)</t>
  </si>
  <si>
    <t>CC011</t>
  </si>
  <si>
    <t>CC013/GeniUnc (AU8010)</t>
  </si>
  <si>
    <t>CC013</t>
  </si>
  <si>
    <t>CC019/TauUnc (IL16513)</t>
  </si>
  <si>
    <t>CC019</t>
  </si>
  <si>
    <t>CC026/GeniUnc (AU8026)</t>
  </si>
  <si>
    <t>CC026</t>
  </si>
  <si>
    <t>CC028/GeniUnc (AU8016)</t>
  </si>
  <si>
    <t>CC028</t>
  </si>
  <si>
    <t>CC032/GeniUnc (AU8002)</t>
  </si>
  <si>
    <t>CC032</t>
  </si>
  <si>
    <t>CC036/Unc (OR477)</t>
  </si>
  <si>
    <t>CC036</t>
  </si>
  <si>
    <t>CC037/TauUnc (IL16072)</t>
  </si>
  <si>
    <t>CC037</t>
  </si>
  <si>
    <t>10cGY</t>
  </si>
  <si>
    <t>CC038/GeniUnc (AU8049)</t>
  </si>
  <si>
    <t>CC038</t>
  </si>
  <si>
    <t>CC040/TauUnc (IL16557)</t>
  </si>
  <si>
    <t>CC040</t>
  </si>
  <si>
    <t>CC041/TauUnc (IL16441)</t>
  </si>
  <si>
    <t>CC041</t>
  </si>
  <si>
    <t>CC042/GeniUnc (AU18042)</t>
  </si>
  <si>
    <t>CC042</t>
  </si>
  <si>
    <t>CC051/TauUnc (IL16912)</t>
  </si>
  <si>
    <t>CC051</t>
  </si>
  <si>
    <t>CC061/GeniUnc (AU8048)</t>
  </si>
  <si>
    <t>CC061</t>
  </si>
  <si>
    <t>CC065/Unc (OR15119)</t>
  </si>
  <si>
    <t>CC065</t>
  </si>
  <si>
    <t>LY_(K/uL)</t>
  </si>
  <si>
    <t>NE_(K/uL)</t>
  </si>
  <si>
    <t>B-cell_fraction</t>
  </si>
  <si>
    <t>T-cell_fraction</t>
  </si>
  <si>
    <t>B-cell</t>
  </si>
  <si>
    <t>Sham</t>
  </si>
  <si>
    <t>0,1 Gy</t>
  </si>
  <si>
    <t>Ratio 0,1 Gy</t>
  </si>
  <si>
    <t>Ratio 1 Gy</t>
  </si>
  <si>
    <t>T-cell</t>
  </si>
  <si>
    <t>xray 4Gy (4h)</t>
  </si>
  <si>
    <t>xray 4Gy (24h)</t>
  </si>
  <si>
    <t>xray 4Gy (48h)</t>
  </si>
  <si>
    <t>xray 0,1Gy (4h)</t>
  </si>
  <si>
    <t>xray 0,1Gy (24h)</t>
  </si>
  <si>
    <t>xray 0,1Gy (48h)</t>
  </si>
  <si>
    <t>xray 1Gy (4h)</t>
  </si>
  <si>
    <t>xray 1Gy (24h)</t>
  </si>
  <si>
    <t>xray 1Gy (48h)</t>
  </si>
  <si>
    <t>T-cell 0,1 Gy</t>
  </si>
  <si>
    <t>T-cell 1Gy</t>
  </si>
  <si>
    <t>Ratio T-cell 0,1 Gy</t>
  </si>
  <si>
    <t>Ratio T-cell 1 Gy</t>
  </si>
  <si>
    <t>B-cell 0,1 Gy</t>
  </si>
  <si>
    <t>B-cell 1Gy</t>
  </si>
  <si>
    <t>Ratio B-cell 0,1 Gy</t>
  </si>
  <si>
    <t>Ratio B-cell 1 Gy</t>
  </si>
  <si>
    <t>Avg_foci - bg (x-ray 4Gy)</t>
  </si>
  <si>
    <t>Temps [h]</t>
  </si>
  <si>
    <t>Avg_foci - bg (x-ray 0,1Gy)</t>
  </si>
  <si>
    <t>Avg_foci - bg (x-ray 1Gy)</t>
  </si>
  <si>
    <t>4h</t>
  </si>
  <si>
    <t>24h</t>
  </si>
  <si>
    <t>48h</t>
  </si>
  <si>
    <t>Fe 4h - ray 4Gy 4h</t>
  </si>
  <si>
    <t>Ar 4h - ray 1Gy 4h</t>
  </si>
  <si>
    <t>Si 4h - ray 0,1Gy 4h</t>
  </si>
  <si>
    <t>Rankings</t>
  </si>
  <si>
    <t>C57</t>
  </si>
  <si>
    <t>B6C3</t>
  </si>
  <si>
    <t>BALBC</t>
  </si>
  <si>
    <t>C3H</t>
  </si>
  <si>
    <t>CBA</t>
  </si>
  <si>
    <t>Ar_tau</t>
  </si>
  <si>
    <t>Fe_tau</t>
  </si>
  <si>
    <t>X0.1Gy_tau</t>
  </si>
  <si>
    <t>X1Gy_tau</t>
  </si>
  <si>
    <t>X4Gy_tau</t>
  </si>
  <si>
    <t>Ar_Rho</t>
  </si>
  <si>
    <t>Fe_Rho</t>
  </si>
  <si>
    <t>X1Gy_RIF_inter</t>
  </si>
  <si>
    <t>X4Gy_RIF_inter</t>
  </si>
  <si>
    <t>Correlation to foci level</t>
  </si>
  <si>
    <t>Correlation to kinetic coefficients - Significance at 60%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</si>
</sst>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Verdana"/>
      <family val="2"/>
    </font>
    <font>
      <b/>
      <sz val="12"/>
      <name val="Calibri"/>
      <family val="2"/>
    </font>
    <font>
      <sz val="12"/>
      <name val="Calibri"/>
      <family val="2"/>
      <scheme val="minor"/>
    </font>
    <font>
      <sz val="12"/>
      <name val="Calibri"/>
      <family val="2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134">
    <xf numFmtId="0" fontId="0" fillId="0" borderId="0" xfId="0"/>
    <xf numFmtId="0" fontId="2" fillId="0" borderId="0" xfId="0" applyFont="1" applyFill="1"/>
    <xf numFmtId="0" fontId="3" fillId="0" borderId="1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/>
    <xf numFmtId="0" fontId="4" fillId="0" borderId="2" xfId="0" applyFont="1" applyFill="1" applyBorder="1" applyAlignment="1">
      <alignment horizontal="center"/>
    </xf>
    <xf numFmtId="14" fontId="4" fillId="0" borderId="2" xfId="0" applyNumberFormat="1" applyFont="1" applyFill="1" applyBorder="1"/>
    <xf numFmtId="0" fontId="4" fillId="0" borderId="1" xfId="0" applyFont="1" applyFill="1" applyBorder="1" applyAlignment="1"/>
    <xf numFmtId="0" fontId="4" fillId="0" borderId="1" xfId="0" applyFont="1" applyFill="1" applyBorder="1" applyAlignment="1">
      <alignment horizontal="left"/>
    </xf>
    <xf numFmtId="0" fontId="4" fillId="0" borderId="2" xfId="0" applyFont="1" applyFill="1" applyBorder="1" applyAlignment="1">
      <alignment horizontal="left"/>
    </xf>
    <xf numFmtId="0" fontId="4" fillId="0" borderId="3" xfId="0" applyFont="1" applyFill="1" applyBorder="1" applyAlignment="1">
      <alignment horizontal="left"/>
    </xf>
    <xf numFmtId="14" fontId="4" fillId="0" borderId="2" xfId="0" applyNumberFormat="1" applyFont="1" applyFill="1" applyBorder="1" applyAlignment="1">
      <alignment horizontal="right"/>
    </xf>
    <xf numFmtId="0" fontId="4" fillId="0" borderId="4" xfId="0" applyFont="1" applyFill="1" applyBorder="1" applyAlignment="1">
      <alignment horizontal="center"/>
    </xf>
    <xf numFmtId="0" fontId="4" fillId="0" borderId="4" xfId="0" applyFont="1" applyFill="1" applyBorder="1" applyAlignment="1"/>
    <xf numFmtId="0" fontId="4" fillId="0" borderId="2" xfId="0" applyFont="1" applyFill="1" applyBorder="1"/>
    <xf numFmtId="0" fontId="5" fillId="0" borderId="2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left"/>
    </xf>
    <xf numFmtId="14" fontId="5" fillId="0" borderId="2" xfId="0" applyNumberFormat="1" applyFont="1" applyFill="1" applyBorder="1" applyAlignment="1">
      <alignment horizontal="left" vertical="center"/>
    </xf>
    <xf numFmtId="0" fontId="5" fillId="0" borderId="2" xfId="0" applyFont="1" applyFill="1" applyBorder="1" applyAlignment="1"/>
    <xf numFmtId="14" fontId="4" fillId="0" borderId="2" xfId="0" applyNumberFormat="1" applyFont="1" applyFill="1" applyBorder="1" applyAlignment="1"/>
    <xf numFmtId="0" fontId="5" fillId="0" borderId="2" xfId="0" applyFont="1" applyFill="1" applyBorder="1" applyAlignment="1">
      <alignment horizontal="center" vertical="center"/>
    </xf>
    <xf numFmtId="0" fontId="4" fillId="0" borderId="0" xfId="0" applyFont="1" applyFill="1"/>
    <xf numFmtId="0" fontId="2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 applyBorder="1"/>
    <xf numFmtId="2" fontId="4" fillId="0" borderId="0" xfId="0" applyNumberFormat="1" applyFont="1" applyFill="1"/>
    <xf numFmtId="2" fontId="4" fillId="0" borderId="0" xfId="0" applyNumberFormat="1" applyFont="1" applyFill="1" applyBorder="1"/>
    <xf numFmtId="2" fontId="4" fillId="0" borderId="0" xfId="0" applyNumberFormat="1" applyFont="1" applyFill="1" applyBorder="1" applyAlignment="1"/>
    <xf numFmtId="0" fontId="6" fillId="0" borderId="0" xfId="0" applyFont="1" applyFill="1" applyAlignment="1">
      <alignment wrapText="1"/>
    </xf>
    <xf numFmtId="0" fontId="0" fillId="2" borderId="16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9" fontId="0" fillId="0" borderId="15" xfId="1" applyFont="1" applyBorder="1" applyAlignment="1">
      <alignment horizontal="center"/>
    </xf>
    <xf numFmtId="9" fontId="0" fillId="0" borderId="8" xfId="1" applyFont="1" applyBorder="1" applyAlignment="1">
      <alignment horizontal="center"/>
    </xf>
    <xf numFmtId="9" fontId="0" fillId="0" borderId="9" xfId="1" applyFont="1" applyBorder="1" applyAlignment="1">
      <alignment horizontal="center"/>
    </xf>
    <xf numFmtId="9" fontId="0" fillId="0" borderId="10" xfId="1" applyFont="1" applyBorder="1" applyAlignment="1">
      <alignment horizontal="center"/>
    </xf>
    <xf numFmtId="9" fontId="0" fillId="0" borderId="11" xfId="1" applyFont="1" applyBorder="1" applyAlignment="1">
      <alignment horizontal="center"/>
    </xf>
    <xf numFmtId="9" fontId="0" fillId="0" borderId="6" xfId="1" applyFont="1" applyBorder="1" applyAlignment="1">
      <alignment horizontal="center"/>
    </xf>
    <xf numFmtId="9" fontId="0" fillId="0" borderId="7" xfId="1" applyFont="1" applyBorder="1" applyAlignment="1">
      <alignment horizontal="center"/>
    </xf>
    <xf numFmtId="0" fontId="10" fillId="0" borderId="24" xfId="0" applyFont="1" applyFill="1" applyBorder="1" applyAlignment="1">
      <alignment horizontal="center"/>
    </xf>
    <xf numFmtId="0" fontId="4" fillId="0" borderId="25" xfId="0" applyFont="1" applyFill="1" applyBorder="1" applyAlignment="1">
      <alignment horizontal="center"/>
    </xf>
    <xf numFmtId="0" fontId="4" fillId="0" borderId="26" xfId="0" applyFont="1" applyFill="1" applyBorder="1" applyAlignment="1">
      <alignment horizontal="center"/>
    </xf>
    <xf numFmtId="9" fontId="0" fillId="0" borderId="27" xfId="1" applyFont="1" applyBorder="1" applyAlignment="1">
      <alignment horizontal="center"/>
    </xf>
    <xf numFmtId="9" fontId="0" fillId="0" borderId="20" xfId="1" applyFont="1" applyBorder="1" applyAlignment="1">
      <alignment horizontal="center"/>
    </xf>
    <xf numFmtId="9" fontId="0" fillId="0" borderId="21" xfId="1" applyFont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0" fontId="4" fillId="0" borderId="24" xfId="0" applyFont="1" applyFill="1" applyBorder="1" applyAlignment="1">
      <alignment horizontal="center"/>
    </xf>
    <xf numFmtId="9" fontId="0" fillId="0" borderId="19" xfId="1" applyFont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164" fontId="0" fillId="0" borderId="23" xfId="0" applyNumberFormat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9" fontId="0" fillId="0" borderId="0" xfId="1" applyFont="1" applyFill="1" applyBorder="1" applyAlignment="1">
      <alignment horizontal="center"/>
    </xf>
    <xf numFmtId="0" fontId="0" fillId="0" borderId="0" xfId="0" applyFill="1"/>
    <xf numFmtId="0" fontId="0" fillId="0" borderId="0" xfId="0" applyFill="1" applyBorder="1" applyAlignment="1">
      <alignment horizontal="center" vertical="center"/>
    </xf>
    <xf numFmtId="1" fontId="0" fillId="2" borderId="36" xfId="0" applyNumberFormat="1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1" fontId="0" fillId="2" borderId="37" xfId="0" applyNumberFormat="1" applyFill="1" applyBorder="1" applyAlignment="1">
      <alignment horizontal="center" vertical="center"/>
    </xf>
    <xf numFmtId="2" fontId="0" fillId="0" borderId="0" xfId="0" applyNumberFormat="1" applyFill="1" applyBorder="1" applyAlignment="1">
      <alignment horizontal="center" vertical="center"/>
    </xf>
    <xf numFmtId="2" fontId="0" fillId="0" borderId="38" xfId="0" applyNumberForma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2" fontId="0" fillId="0" borderId="39" xfId="0" applyNumberFormat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2" fontId="0" fillId="0" borderId="40" xfId="0" applyNumberFormat="1" applyBorder="1" applyAlignment="1">
      <alignment horizontal="center" vertical="center"/>
    </xf>
    <xf numFmtId="2" fontId="0" fillId="0" borderId="23" xfId="0" applyNumberFormat="1" applyBorder="1" applyAlignment="1">
      <alignment horizontal="center" vertical="center"/>
    </xf>
    <xf numFmtId="2" fontId="0" fillId="0" borderId="41" xfId="0" applyNumberFormat="1" applyBorder="1" applyAlignment="1">
      <alignment horizontal="center" vertical="center"/>
    </xf>
    <xf numFmtId="0" fontId="0" fillId="2" borderId="35" xfId="0" applyFill="1" applyBorder="1" applyAlignment="1">
      <alignment horizontal="center"/>
    </xf>
    <xf numFmtId="164" fontId="0" fillId="0" borderId="25" xfId="0" applyNumberFormat="1" applyBorder="1" applyAlignment="1">
      <alignment horizontal="center" vertical="center"/>
    </xf>
    <xf numFmtId="164" fontId="0" fillId="0" borderId="39" xfId="0" applyNumberFormat="1" applyBorder="1" applyAlignment="1">
      <alignment horizontal="center" vertic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164" fontId="0" fillId="0" borderId="26" xfId="0" applyNumberFormat="1" applyBorder="1" applyAlignment="1">
      <alignment horizontal="center" vertical="center"/>
    </xf>
    <xf numFmtId="164" fontId="0" fillId="0" borderId="41" xfId="0" applyNumberFormat="1" applyBorder="1" applyAlignment="1">
      <alignment horizontal="center" vertical="center"/>
    </xf>
    <xf numFmtId="164" fontId="0" fillId="0" borderId="0" xfId="0" applyNumberFormat="1" applyFill="1" applyBorder="1" applyAlignment="1">
      <alignment horizontal="center" vertical="center"/>
    </xf>
    <xf numFmtId="1" fontId="0" fillId="0" borderId="0" xfId="0" applyNumberFormat="1" applyFill="1" applyBorder="1" applyAlignment="1">
      <alignment horizontal="center" vertical="center"/>
    </xf>
    <xf numFmtId="2" fontId="1" fillId="0" borderId="4" xfId="1" applyNumberFormat="1" applyFont="1" applyFill="1" applyBorder="1" applyAlignment="1">
      <alignment horizontal="center"/>
    </xf>
    <xf numFmtId="2" fontId="1" fillId="0" borderId="2" xfId="1" applyNumberFormat="1" applyFont="1" applyFill="1" applyBorder="1" applyAlignment="1">
      <alignment horizontal="center"/>
    </xf>
    <xf numFmtId="2" fontId="1" fillId="0" borderId="8" xfId="1" applyNumberFormat="1" applyFont="1" applyFill="1" applyBorder="1" applyAlignment="1">
      <alignment horizontal="center"/>
    </xf>
    <xf numFmtId="2" fontId="0" fillId="0" borderId="9" xfId="0" applyNumberFormat="1" applyFont="1" applyFill="1" applyBorder="1" applyAlignment="1">
      <alignment horizontal="center" vertical="center"/>
    </xf>
    <xf numFmtId="2" fontId="1" fillId="0" borderId="10" xfId="1" applyNumberFormat="1" applyFont="1" applyFill="1" applyBorder="1" applyAlignment="1">
      <alignment horizontal="center"/>
    </xf>
    <xf numFmtId="2" fontId="1" fillId="0" borderId="13" xfId="1" applyNumberFormat="1" applyFont="1" applyFill="1" applyBorder="1" applyAlignment="1">
      <alignment horizontal="center"/>
    </xf>
    <xf numFmtId="2" fontId="0" fillId="0" borderId="11" xfId="0" applyNumberFormat="1" applyFont="1" applyFill="1" applyBorder="1" applyAlignment="1">
      <alignment horizontal="center" vertical="center"/>
    </xf>
    <xf numFmtId="0" fontId="0" fillId="2" borderId="32" xfId="0" applyFont="1" applyFill="1" applyBorder="1" applyAlignment="1">
      <alignment horizontal="center"/>
    </xf>
    <xf numFmtId="0" fontId="0" fillId="2" borderId="22" xfId="0" applyFont="1" applyFill="1" applyBorder="1" applyAlignment="1">
      <alignment horizontal="center"/>
    </xf>
    <xf numFmtId="0" fontId="0" fillId="2" borderId="23" xfId="0" applyFont="1" applyFill="1" applyBorder="1" applyAlignment="1">
      <alignment horizontal="center"/>
    </xf>
    <xf numFmtId="2" fontId="1" fillId="0" borderId="14" xfId="1" applyNumberFormat="1" applyFont="1" applyFill="1" applyBorder="1" applyAlignment="1">
      <alignment horizontal="center"/>
    </xf>
    <xf numFmtId="2" fontId="0" fillId="0" borderId="15" xfId="0" applyNumberFormat="1" applyFont="1" applyFill="1" applyBorder="1" applyAlignment="1">
      <alignment horizontal="center" vertical="center"/>
    </xf>
    <xf numFmtId="0" fontId="8" fillId="2" borderId="16" xfId="0" applyFont="1" applyFill="1" applyBorder="1" applyAlignment="1"/>
    <xf numFmtId="0" fontId="8" fillId="2" borderId="17" xfId="0" applyFont="1" applyFill="1" applyBorder="1" applyAlignment="1"/>
    <xf numFmtId="0" fontId="8" fillId="2" borderId="18" xfId="0" applyFont="1" applyFill="1" applyBorder="1" applyAlignment="1">
      <alignment vertical="center"/>
    </xf>
    <xf numFmtId="0" fontId="0" fillId="0" borderId="34" xfId="0" applyFill="1" applyBorder="1" applyAlignment="1">
      <alignment horizontal="center" vertical="center"/>
    </xf>
    <xf numFmtId="9" fontId="0" fillId="0" borderId="6" xfId="1" applyFont="1" applyFill="1" applyBorder="1" applyAlignment="1">
      <alignment horizontal="center" vertical="center"/>
    </xf>
    <xf numFmtId="9" fontId="0" fillId="0" borderId="12" xfId="1" applyFont="1" applyFill="1" applyBorder="1" applyAlignment="1">
      <alignment horizontal="center" vertical="center"/>
    </xf>
    <xf numFmtId="9" fontId="9" fillId="0" borderId="12" xfId="1" applyFont="1" applyFill="1" applyBorder="1" applyAlignment="1">
      <alignment horizontal="center" vertical="center"/>
    </xf>
    <xf numFmtId="9" fontId="0" fillId="0" borderId="7" xfId="1" applyFont="1" applyFill="1" applyBorder="1" applyAlignment="1">
      <alignment horizontal="center" vertical="center"/>
    </xf>
    <xf numFmtId="9" fontId="0" fillId="0" borderId="8" xfId="1" applyFont="1" applyFill="1" applyBorder="1" applyAlignment="1">
      <alignment horizontal="center" vertical="center"/>
    </xf>
    <xf numFmtId="9" fontId="0" fillId="0" borderId="2" xfId="1" applyFont="1" applyFill="1" applyBorder="1" applyAlignment="1">
      <alignment horizontal="center" vertical="center"/>
    </xf>
    <xf numFmtId="9" fontId="0" fillId="0" borderId="9" xfId="1" applyFont="1" applyFill="1" applyBorder="1" applyAlignment="1">
      <alignment horizontal="center" vertical="center"/>
    </xf>
    <xf numFmtId="9" fontId="9" fillId="0" borderId="9" xfId="1" applyFont="1" applyFill="1" applyBorder="1" applyAlignment="1">
      <alignment horizontal="center" vertical="center"/>
    </xf>
    <xf numFmtId="9" fontId="0" fillId="0" borderId="2" xfId="1" applyFont="1" applyBorder="1" applyAlignment="1">
      <alignment horizontal="center"/>
    </xf>
    <xf numFmtId="9" fontId="0" fillId="0" borderId="13" xfId="1" applyFont="1" applyBorder="1" applyAlignment="1">
      <alignment horizontal="center"/>
    </xf>
    <xf numFmtId="9" fontId="0" fillId="0" borderId="44" xfId="1" applyFont="1" applyFill="1" applyBorder="1" applyAlignment="1">
      <alignment horizontal="center" vertical="center"/>
    </xf>
    <xf numFmtId="9" fontId="0" fillId="0" borderId="45" xfId="1" applyFont="1" applyFill="1" applyBorder="1" applyAlignment="1">
      <alignment horizontal="center" vertical="center"/>
    </xf>
    <xf numFmtId="9" fontId="0" fillId="0" borderId="46" xfId="1" applyFont="1" applyFill="1" applyBorder="1" applyAlignment="1">
      <alignment horizontal="center" vertical="center"/>
    </xf>
    <xf numFmtId="9" fontId="0" fillId="0" borderId="12" xfId="1" applyFont="1" applyBorder="1" applyAlignment="1">
      <alignment horizontal="center"/>
    </xf>
    <xf numFmtId="164" fontId="0" fillId="2" borderId="31" xfId="0" applyNumberFormat="1" applyFill="1" applyBorder="1" applyAlignment="1">
      <alignment horizontal="center" vertical="center"/>
    </xf>
    <xf numFmtId="164" fontId="0" fillId="2" borderId="25" xfId="0" applyNumberFormat="1" applyFill="1" applyBorder="1" applyAlignment="1">
      <alignment horizontal="center" vertical="center"/>
    </xf>
    <xf numFmtId="164" fontId="0" fillId="2" borderId="43" xfId="0" applyNumberFormat="1" applyFill="1" applyBorder="1" applyAlignment="1">
      <alignment horizontal="center" vertical="center"/>
    </xf>
    <xf numFmtId="164" fontId="0" fillId="2" borderId="26" xfId="0" applyNumberFormat="1" applyFill="1" applyBorder="1" applyAlignment="1">
      <alignment horizontal="center" vertical="center"/>
    </xf>
    <xf numFmtId="164" fontId="0" fillId="2" borderId="42" xfId="0" applyNumberFormat="1" applyFill="1" applyBorder="1" applyAlignment="1">
      <alignment horizontal="center" vertical="center"/>
    </xf>
    <xf numFmtId="164" fontId="0" fillId="2" borderId="29" xfId="0" applyNumberFormat="1" applyFill="1" applyBorder="1" applyAlignment="1">
      <alignment horizontal="center" vertical="center"/>
    </xf>
    <xf numFmtId="164" fontId="0" fillId="2" borderId="30" xfId="0" applyNumberFormat="1" applyFill="1" applyBorder="1" applyAlignment="1">
      <alignment horizontal="center" vertical="center"/>
    </xf>
    <xf numFmtId="9" fontId="9" fillId="0" borderId="13" xfId="1" applyFont="1" applyBorder="1" applyAlignment="1">
      <alignment horizontal="center"/>
    </xf>
    <xf numFmtId="9" fontId="0" fillId="0" borderId="0" xfId="0" applyNumberFormat="1"/>
    <xf numFmtId="9" fontId="9" fillId="0" borderId="2" xfId="1" applyFont="1" applyFill="1" applyBorder="1" applyAlignment="1">
      <alignment horizontal="center" vertical="center"/>
    </xf>
    <xf numFmtId="0" fontId="12" fillId="0" borderId="0" xfId="0" applyFont="1" applyFill="1" applyBorder="1"/>
    <xf numFmtId="0" fontId="0" fillId="2" borderId="33" xfId="0" applyFill="1" applyBorder="1" applyAlignment="1">
      <alignment horizontal="center"/>
    </xf>
    <xf numFmtId="0" fontId="0" fillId="2" borderId="36" xfId="0" applyFill="1" applyBorder="1" applyAlignment="1">
      <alignment horizontal="center"/>
    </xf>
    <xf numFmtId="0" fontId="0" fillId="2" borderId="37" xfId="0" applyFill="1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6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5.2694455969916003E-2"/>
                  <c:y val="-0.340962179498729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Sheet1!$AE$23:$AE$32</c:f>
              <c:numCache>
                <c:formatCode>General</c:formatCode>
                <c:ptCount val="10"/>
                <c:pt idx="0">
                  <c:v>6.1430720728562802</c:v>
                </c:pt>
                <c:pt idx="1">
                  <c:v>6.6107177565660704</c:v>
                </c:pt>
                <c:pt idx="2">
                  <c:v>4.9886443193071601</c:v>
                </c:pt>
                <c:pt idx="3">
                  <c:v>5.63260117879791</c:v>
                </c:pt>
                <c:pt idx="4">
                  <c:v>6.0399520985349904</c:v>
                </c:pt>
                <c:pt idx="5">
                  <c:v>7.0696550228495898</c:v>
                </c:pt>
                <c:pt idx="6">
                  <c:v>5.3096925654526697</c:v>
                </c:pt>
                <c:pt idx="7">
                  <c:v>6.0683044280957397</c:v>
                </c:pt>
                <c:pt idx="8">
                  <c:v>6.2942191730993402</c:v>
                </c:pt>
                <c:pt idx="9">
                  <c:v>5.8920583169312097</c:v>
                </c:pt>
              </c:numCache>
            </c:numRef>
          </c:xVal>
          <c:yVal>
            <c:numRef>
              <c:f>Sheet1!$P$14:$P$23</c:f>
              <c:numCache>
                <c:formatCode>0%</c:formatCode>
                <c:ptCount val="10"/>
                <c:pt idx="0">
                  <c:v>0.96459896805016732</c:v>
                </c:pt>
                <c:pt idx="1">
                  <c:v>1.1737822754234402</c:v>
                </c:pt>
                <c:pt idx="2">
                  <c:v>0.72654932657657678</c:v>
                </c:pt>
                <c:pt idx="3">
                  <c:v>0.86589129116028352</c:v>
                </c:pt>
                <c:pt idx="4">
                  <c:v>0.97445950010160542</c:v>
                </c:pt>
                <c:pt idx="5">
                  <c:v>0.94648923537754004</c:v>
                </c:pt>
                <c:pt idx="6">
                  <c:v>0.90255790457042728</c:v>
                </c:pt>
                <c:pt idx="7">
                  <c:v>1.0472484415294578</c:v>
                </c:pt>
                <c:pt idx="8">
                  <c:v>0.83305122341093463</c:v>
                </c:pt>
                <c:pt idx="9">
                  <c:v>0.91027984236410031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84-467B-A172-A1438800C5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9203400"/>
        <c:axId val="509204184"/>
      </c:scatterChart>
      <c:valAx>
        <c:axId val="509203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204184"/>
        <c:crosses val="autoZero"/>
        <c:crossBetween val="midCat"/>
      </c:valAx>
      <c:valAx>
        <c:axId val="509204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203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518585</xdr:colOff>
      <xdr:row>14</xdr:row>
      <xdr:rowOff>14817</xdr:rowOff>
    </xdr:from>
    <xdr:to>
      <xdr:col>26</xdr:col>
      <xdr:colOff>1174750</xdr:colOff>
      <xdr:row>27</xdr:row>
      <xdr:rowOff>122767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87"/>
  <sheetViews>
    <sheetView tabSelected="1" topLeftCell="K1" zoomScale="55" zoomScaleNormal="55" workbookViewId="0">
      <selection activeCell="AG50" sqref="AG50"/>
    </sheetView>
  </sheetViews>
  <sheetFormatPr defaultColWidth="11" defaultRowHeight="15.75" x14ac:dyDescent="0.25"/>
  <cols>
    <col min="1" max="2" width="28.375" style="20" bestFit="1" customWidth="1"/>
    <col min="3" max="3" width="8.375" style="20" bestFit="1" customWidth="1"/>
    <col min="4" max="4" width="22.625" style="20" customWidth="1"/>
    <col min="5" max="5" width="7.875" style="20" bestFit="1" customWidth="1"/>
    <col min="6" max="6" width="22.625" style="22" customWidth="1"/>
    <col min="7" max="7" width="13.625" style="20" customWidth="1"/>
    <col min="8" max="8" width="14.5" style="20" customWidth="1"/>
    <col min="9" max="9" width="14.375" style="20" customWidth="1"/>
    <col min="10" max="10" width="13.5" style="20" customWidth="1"/>
    <col min="18" max="24" width="11" style="64"/>
    <col min="25" max="26" width="14.75" style="64" bestFit="1" customWidth="1"/>
    <col min="27" max="27" width="16.375" style="64" bestFit="1" customWidth="1"/>
    <col min="29" max="29" width="16.875" bestFit="1" customWidth="1"/>
    <col min="30" max="30" width="11" bestFit="1" customWidth="1"/>
    <col min="31" max="31" width="9" bestFit="1" customWidth="1"/>
    <col min="32" max="32" width="15.875" bestFit="1" customWidth="1"/>
    <col min="33" max="33" width="14.375" customWidth="1"/>
    <col min="34" max="34" width="11.125" bestFit="1" customWidth="1"/>
    <col min="35" max="35" width="9.125" bestFit="1" customWidth="1"/>
    <col min="36" max="36" width="15.875" bestFit="1" customWidth="1"/>
    <col min="37" max="37" width="14.5" bestFit="1" customWidth="1"/>
  </cols>
  <sheetData>
    <row r="1" spans="1:37" ht="16.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1"/>
      <c r="G1" s="1" t="s">
        <v>47</v>
      </c>
      <c r="H1" s="1" t="s">
        <v>48</v>
      </c>
      <c r="I1" s="27" t="s">
        <v>49</v>
      </c>
      <c r="J1" s="27" t="s">
        <v>50</v>
      </c>
      <c r="L1" s="31" t="s">
        <v>51</v>
      </c>
      <c r="M1" s="45" t="s">
        <v>52</v>
      </c>
      <c r="N1" s="46" t="s">
        <v>53</v>
      </c>
      <c r="O1" s="47" t="s">
        <v>9</v>
      </c>
      <c r="P1" s="28" t="s">
        <v>54</v>
      </c>
      <c r="Q1" s="29" t="s">
        <v>55</v>
      </c>
      <c r="R1" s="62"/>
      <c r="S1" s="131" t="s">
        <v>76</v>
      </c>
      <c r="T1" s="132"/>
      <c r="U1" s="132"/>
      <c r="V1" s="133"/>
      <c r="W1" s="65"/>
      <c r="Y1" s="128" t="s">
        <v>84</v>
      </c>
      <c r="Z1" s="129"/>
      <c r="AA1" s="130"/>
      <c r="AC1" s="59" t="s">
        <v>99</v>
      </c>
    </row>
    <row r="2" spans="1:37" ht="16.5" thickBot="1" x14ac:dyDescent="0.3">
      <c r="A2" s="3" t="s">
        <v>5</v>
      </c>
      <c r="B2" s="3" t="s">
        <v>6</v>
      </c>
      <c r="C2" s="4">
        <v>152</v>
      </c>
      <c r="D2" s="5">
        <v>42111</v>
      </c>
      <c r="E2" s="6" t="s">
        <v>7</v>
      </c>
      <c r="F2" s="4" t="s">
        <v>8</v>
      </c>
      <c r="G2" s="20">
        <v>3.08</v>
      </c>
      <c r="H2" s="20">
        <v>0.31</v>
      </c>
      <c r="I2" s="20">
        <v>0.77924000000000004</v>
      </c>
      <c r="J2" s="20">
        <v>0.98868</v>
      </c>
      <c r="L2" s="39" t="s">
        <v>13</v>
      </c>
      <c r="M2" s="48">
        <f>AVERAGEIFS($I$2:$I$687,$B$2:$B$687,L2,$F$2:$F$687,"sham")</f>
        <v>1.3851699999999998</v>
      </c>
      <c r="N2" s="49">
        <f>AVERAGEIFS($I$2:$I$687,$B$2:$B$687,L2,$F$2:$F$687,"10cGy")</f>
        <v>1.5009572727272726</v>
      </c>
      <c r="O2" s="50">
        <f>AVERAGEIFS($I$2:$I$687,$B$2:$B$687,L2,$F$2:$F$687,"1Gy")</f>
        <v>0.8259399999999999</v>
      </c>
      <c r="P2" s="42">
        <f>N2/M2</f>
        <v>1.0835906587114021</v>
      </c>
      <c r="Q2" s="38">
        <f>O2/M2</f>
        <v>0.59627338160658983</v>
      </c>
      <c r="R2" s="63"/>
      <c r="S2" s="30"/>
      <c r="T2" s="78" t="s">
        <v>78</v>
      </c>
      <c r="U2" s="47" t="s">
        <v>79</v>
      </c>
      <c r="V2" s="47" t="s">
        <v>80</v>
      </c>
      <c r="W2" s="62"/>
      <c r="X2"/>
      <c r="Y2" s="99" t="s">
        <v>81</v>
      </c>
      <c r="Z2" s="100" t="s">
        <v>82</v>
      </c>
      <c r="AA2" s="101" t="s">
        <v>83</v>
      </c>
      <c r="AC2" s="102"/>
      <c r="AD2" s="121" t="s">
        <v>66</v>
      </c>
      <c r="AE2" s="122" t="s">
        <v>67</v>
      </c>
      <c r="AF2" s="122" t="s">
        <v>68</v>
      </c>
      <c r="AG2" s="122" t="s">
        <v>69</v>
      </c>
      <c r="AH2" s="122" t="s">
        <v>70</v>
      </c>
      <c r="AI2" s="122" t="s">
        <v>71</v>
      </c>
      <c r="AJ2" s="122" t="s">
        <v>72</v>
      </c>
      <c r="AK2" s="123" t="s">
        <v>73</v>
      </c>
    </row>
    <row r="3" spans="1:37" x14ac:dyDescent="0.25">
      <c r="A3" s="3" t="s">
        <v>5</v>
      </c>
      <c r="B3" s="3" t="s">
        <v>6</v>
      </c>
      <c r="C3" s="4">
        <v>153</v>
      </c>
      <c r="D3" s="5">
        <v>42111</v>
      </c>
      <c r="E3" s="6" t="s">
        <v>7</v>
      </c>
      <c r="F3" s="4" t="s">
        <v>9</v>
      </c>
      <c r="G3" s="20">
        <v>1.46</v>
      </c>
      <c r="H3" s="20">
        <v>0.42</v>
      </c>
      <c r="I3" s="20">
        <v>0.13358999999999999</v>
      </c>
      <c r="J3" s="20">
        <v>0.41609999999999997</v>
      </c>
      <c r="L3" s="40" t="s">
        <v>17</v>
      </c>
      <c r="M3" s="51">
        <f t="shared" ref="M3:M11" si="0">AVERAGEIFS($I$2:$I$687,$B$2:$B$687,L3,$F$2:$F$687,"sham")</f>
        <v>1.7076866666666666</v>
      </c>
      <c r="N3" s="52">
        <f t="shared" ref="N3:N11" si="1">AVERAGEIFS($I$2:$I$687,$B$2:$B$687,L3,$F$2:$F$687,"10cGy")</f>
        <v>2.3187583333333333</v>
      </c>
      <c r="O3" s="53">
        <f t="shared" ref="O3:O11" si="2">AVERAGEIFS($I$2:$I$687,$B$2:$B$687,L3,$F$2:$F$687,"1Gy")</f>
        <v>0.35392750000000001</v>
      </c>
      <c r="P3" s="43">
        <f t="shared" ref="P3:P11" si="3">N3/M3</f>
        <v>1.3578359418004085</v>
      </c>
      <c r="Q3" s="34">
        <f t="shared" ref="Q3:Q11" si="4">O3/M3</f>
        <v>0.20725552697020921</v>
      </c>
      <c r="R3" s="63"/>
      <c r="S3" s="81" t="s">
        <v>13</v>
      </c>
      <c r="T3" s="79">
        <v>0.68499999999999994</v>
      </c>
      <c r="U3" s="60">
        <v>0</v>
      </c>
      <c r="V3" s="80">
        <v>9.2000000000000026E-2</v>
      </c>
      <c r="W3" s="127"/>
      <c r="X3" s="94" t="s">
        <v>13</v>
      </c>
      <c r="Y3" s="97">
        <v>3.0049999999999999</v>
      </c>
      <c r="Z3" s="87">
        <v>2.5370833333333329</v>
      </c>
      <c r="AA3" s="98">
        <v>0.61890474937508244</v>
      </c>
      <c r="AC3" s="117" t="s">
        <v>60</v>
      </c>
      <c r="AD3" s="103">
        <v>2.29E-2</v>
      </c>
      <c r="AE3" s="104">
        <v>0.15049999999999999</v>
      </c>
      <c r="AF3" s="105">
        <v>0.60660000000000003</v>
      </c>
      <c r="AG3" s="104">
        <v>1.18E-2</v>
      </c>
      <c r="AH3" s="104">
        <v>1.9E-3</v>
      </c>
      <c r="AI3" s="104">
        <v>8.0000000000000007E-5</v>
      </c>
      <c r="AJ3" s="105">
        <v>0.38019999999999998</v>
      </c>
      <c r="AK3" s="106">
        <v>9.7100000000000006E-2</v>
      </c>
    </row>
    <row r="4" spans="1:37" x14ac:dyDescent="0.25">
      <c r="A4" s="3" t="s">
        <v>5</v>
      </c>
      <c r="B4" s="3" t="s">
        <v>6</v>
      </c>
      <c r="C4" s="4">
        <v>154</v>
      </c>
      <c r="D4" s="5">
        <v>42111</v>
      </c>
      <c r="E4" s="7" t="s">
        <v>10</v>
      </c>
      <c r="F4" s="4" t="s">
        <v>8</v>
      </c>
      <c r="G4" s="23">
        <v>4.88</v>
      </c>
      <c r="H4" s="23">
        <v>0.7</v>
      </c>
      <c r="I4" s="20">
        <v>1.2687999999999999</v>
      </c>
      <c r="J4" s="20">
        <v>1.5860000000000001</v>
      </c>
      <c r="L4" s="40" t="s">
        <v>19</v>
      </c>
      <c r="M4" s="51">
        <f t="shared" si="0"/>
        <v>1.3181984615384617</v>
      </c>
      <c r="N4" s="52">
        <f t="shared" si="1"/>
        <v>1.0583718181818182</v>
      </c>
      <c r="O4" s="53">
        <f t="shared" si="2"/>
        <v>0.18153433333333335</v>
      </c>
      <c r="P4" s="43">
        <f t="shared" si="3"/>
        <v>0.80289262130271244</v>
      </c>
      <c r="Q4" s="34">
        <f t="shared" si="4"/>
        <v>0.13771396237366693</v>
      </c>
      <c r="R4" s="63"/>
      <c r="S4" s="81" t="s">
        <v>17</v>
      </c>
      <c r="T4" s="79">
        <v>0.7363333333333334</v>
      </c>
      <c r="U4" s="60">
        <v>4.2000000000000037E-2</v>
      </c>
      <c r="V4" s="80">
        <v>2.2000000000000047E-2</v>
      </c>
      <c r="W4" s="127"/>
      <c r="X4" s="95" t="s">
        <v>17</v>
      </c>
      <c r="Y4" s="89">
        <v>2.7341666666666664</v>
      </c>
      <c r="Z4" s="88">
        <v>2.0081666666666669</v>
      </c>
      <c r="AA4" s="90">
        <v>0.58686631145024759</v>
      </c>
      <c r="AC4" s="118" t="s">
        <v>61</v>
      </c>
      <c r="AD4" s="107">
        <v>4.2700000000000002E-2</v>
      </c>
      <c r="AE4" s="108">
        <v>0.2606</v>
      </c>
      <c r="AF4" s="108">
        <v>7.4999999999999997E-3</v>
      </c>
      <c r="AG4" s="108">
        <v>0.15479999999999999</v>
      </c>
      <c r="AH4" s="108">
        <v>8.0659999999999996E-2</v>
      </c>
      <c r="AI4" s="108">
        <v>0.1321</v>
      </c>
      <c r="AJ4" s="108">
        <v>2.69E-2</v>
      </c>
      <c r="AK4" s="109">
        <v>1.4800000000000001E-2</v>
      </c>
    </row>
    <row r="5" spans="1:37" x14ac:dyDescent="0.25">
      <c r="A5" s="3" t="s">
        <v>5</v>
      </c>
      <c r="B5" s="3" t="s">
        <v>6</v>
      </c>
      <c r="C5" s="4">
        <v>155</v>
      </c>
      <c r="D5" s="5">
        <v>42111</v>
      </c>
      <c r="E5" s="7" t="s">
        <v>10</v>
      </c>
      <c r="F5" s="4" t="s">
        <v>8</v>
      </c>
      <c r="G5" s="23">
        <v>4.46</v>
      </c>
      <c r="H5" s="23">
        <v>0.52</v>
      </c>
      <c r="I5" s="20">
        <v>1.1328400000000001</v>
      </c>
      <c r="J5" s="20">
        <v>1.5654600000000001</v>
      </c>
      <c r="L5" s="40" t="s">
        <v>21</v>
      </c>
      <c r="M5" s="51">
        <f t="shared" si="0"/>
        <v>1.248981818181818</v>
      </c>
      <c r="N5" s="52">
        <f t="shared" si="1"/>
        <v>1.0878055172413794</v>
      </c>
      <c r="O5" s="53">
        <f t="shared" si="2"/>
        <v>0.29004071428571426</v>
      </c>
      <c r="P5" s="43">
        <f t="shared" si="3"/>
        <v>0.87095384528890263</v>
      </c>
      <c r="Q5" s="34">
        <f t="shared" si="4"/>
        <v>0.23222172658040421</v>
      </c>
      <c r="R5" s="63"/>
      <c r="S5" s="81" t="s">
        <v>19</v>
      </c>
      <c r="T5" s="79">
        <v>0.34111111111111103</v>
      </c>
      <c r="U5" s="60">
        <v>1.222222222222219E-2</v>
      </c>
      <c r="V5" s="80">
        <v>1.111111111111146E-3</v>
      </c>
      <c r="W5" s="127"/>
      <c r="X5" s="95" t="s">
        <v>19</v>
      </c>
      <c r="Y5" s="89">
        <v>2.1602380952380953</v>
      </c>
      <c r="Z5" s="88">
        <v>1.4899999999999998</v>
      </c>
      <c r="AA5" s="90">
        <v>0.48479391235071428</v>
      </c>
      <c r="AC5" s="118" t="s">
        <v>62</v>
      </c>
      <c r="AD5" s="107">
        <v>5.8299999999999998E-2</v>
      </c>
      <c r="AE5" s="108">
        <v>5.04E-2</v>
      </c>
      <c r="AF5" s="108">
        <v>2.8000000000000001E-2</v>
      </c>
      <c r="AG5" s="108">
        <v>2.7400000000000001E-2</v>
      </c>
      <c r="AH5" s="108">
        <v>1.2999999999999999E-2</v>
      </c>
      <c r="AI5" s="108">
        <v>0.16650000000000001</v>
      </c>
      <c r="AJ5" s="108">
        <v>8.4900000000000003E-2</v>
      </c>
      <c r="AK5" s="109">
        <v>0.4249</v>
      </c>
    </row>
    <row r="6" spans="1:37" x14ac:dyDescent="0.25">
      <c r="A6" s="3" t="s">
        <v>5</v>
      </c>
      <c r="B6" s="3" t="s">
        <v>6</v>
      </c>
      <c r="C6" s="4">
        <v>156</v>
      </c>
      <c r="D6" s="5">
        <v>42111</v>
      </c>
      <c r="E6" s="7" t="s">
        <v>10</v>
      </c>
      <c r="F6" s="4" t="s">
        <v>9</v>
      </c>
      <c r="G6" s="23">
        <v>1.0900000000000001</v>
      </c>
      <c r="H6" s="23">
        <v>0.27</v>
      </c>
      <c r="I6" s="20">
        <v>8.7417999999999996E-2</v>
      </c>
      <c r="J6" s="20">
        <v>0.25287999999999999</v>
      </c>
      <c r="L6" s="40" t="s">
        <v>27</v>
      </c>
      <c r="M6" s="51">
        <f t="shared" si="0"/>
        <v>1.5384568750000003</v>
      </c>
      <c r="N6" s="52">
        <f t="shared" si="1"/>
        <v>1.7012670000000001</v>
      </c>
      <c r="O6" s="53">
        <f t="shared" si="2"/>
        <v>0.49532499999999996</v>
      </c>
      <c r="P6" s="43">
        <f t="shared" si="3"/>
        <v>1.1058269020377967</v>
      </c>
      <c r="Q6" s="34">
        <f t="shared" si="4"/>
        <v>0.32196222594799734</v>
      </c>
      <c r="R6" s="63"/>
      <c r="S6" s="81" t="s">
        <v>21</v>
      </c>
      <c r="T6" s="79">
        <v>0.41749999999999998</v>
      </c>
      <c r="U6" s="60">
        <v>2.2499999999999992E-2</v>
      </c>
      <c r="V6" s="80">
        <v>1.2500000000000011E-2</v>
      </c>
      <c r="W6" s="127"/>
      <c r="X6" s="95" t="s">
        <v>21</v>
      </c>
      <c r="Y6" s="89">
        <v>1.4824999999999999</v>
      </c>
      <c r="Z6" s="88">
        <v>1.3162499999999999</v>
      </c>
      <c r="AA6" s="90">
        <v>0.41436048710695933</v>
      </c>
      <c r="AC6" s="118" t="s">
        <v>63</v>
      </c>
      <c r="AD6" s="107">
        <v>0.1027</v>
      </c>
      <c r="AE6" s="108">
        <v>7.5200000000000003E-2</v>
      </c>
      <c r="AF6" s="126">
        <v>0.27589999999999998</v>
      </c>
      <c r="AG6" s="108">
        <v>5.28E-2</v>
      </c>
      <c r="AH6" s="108">
        <v>1E-4</v>
      </c>
      <c r="AI6" s="108">
        <v>7.4499999999999997E-2</v>
      </c>
      <c r="AJ6" s="126">
        <v>9.8100000000000007E-2</v>
      </c>
      <c r="AK6" s="109">
        <v>0.29060000000000002</v>
      </c>
    </row>
    <row r="7" spans="1:37" x14ac:dyDescent="0.25">
      <c r="A7" s="3" t="s">
        <v>5</v>
      </c>
      <c r="B7" s="3" t="s">
        <v>6</v>
      </c>
      <c r="C7" s="4">
        <v>212</v>
      </c>
      <c r="D7" s="5">
        <v>42123</v>
      </c>
      <c r="E7" s="6" t="s">
        <v>7</v>
      </c>
      <c r="F7" s="4" t="s">
        <v>8</v>
      </c>
      <c r="G7" s="20">
        <v>3.14</v>
      </c>
      <c r="H7" s="20">
        <v>0.78</v>
      </c>
      <c r="I7" s="20">
        <v>0.54949999999999999</v>
      </c>
      <c r="J7" s="20">
        <v>0.98596000000000006</v>
      </c>
      <c r="L7" s="40" t="s">
        <v>31</v>
      </c>
      <c r="M7" s="51">
        <f t="shared" si="0"/>
        <v>1.1818640740740738</v>
      </c>
      <c r="N7" s="52">
        <f t="shared" si="1"/>
        <v>0.82727075000000005</v>
      </c>
      <c r="O7" s="53">
        <f t="shared" si="2"/>
        <v>0.42892811764705879</v>
      </c>
      <c r="P7" s="43">
        <f t="shared" si="3"/>
        <v>0.69997114570736207</v>
      </c>
      <c r="Q7" s="34">
        <f t="shared" si="4"/>
        <v>0.36292508339683704</v>
      </c>
      <c r="R7" s="63"/>
      <c r="S7" s="81" t="s">
        <v>27</v>
      </c>
      <c r="T7" s="79">
        <v>0.58499999999999996</v>
      </c>
      <c r="U7" s="60">
        <v>4.0000000000000036E-2</v>
      </c>
      <c r="V7" s="80">
        <v>0</v>
      </c>
      <c r="W7" s="127"/>
      <c r="X7" s="95" t="s">
        <v>27</v>
      </c>
      <c r="Y7" s="89">
        <v>2.38</v>
      </c>
      <c r="Z7" s="88">
        <v>2.0950000000000002</v>
      </c>
      <c r="AA7" s="90">
        <v>0.48214527223594206</v>
      </c>
      <c r="AC7" s="118" t="s">
        <v>64</v>
      </c>
      <c r="AD7" s="107">
        <v>5.1999999999999998E-2</v>
      </c>
      <c r="AE7" s="108">
        <v>6.9099999999999995E-2</v>
      </c>
      <c r="AF7" s="108">
        <v>1.1999999999999999E-3</v>
      </c>
      <c r="AG7" s="108">
        <v>0.1827</v>
      </c>
      <c r="AH7" s="108">
        <v>9.9000000000000008E-3</v>
      </c>
      <c r="AI7" s="108">
        <v>0.36299999999999999</v>
      </c>
      <c r="AJ7" s="108">
        <v>4.4000000000000003E-3</v>
      </c>
      <c r="AK7" s="110">
        <v>0.52790000000000004</v>
      </c>
    </row>
    <row r="8" spans="1:37" x14ac:dyDescent="0.25">
      <c r="A8" s="3" t="s">
        <v>5</v>
      </c>
      <c r="B8" s="3" t="s">
        <v>6</v>
      </c>
      <c r="C8" s="4">
        <v>213</v>
      </c>
      <c r="D8" s="5">
        <v>42123</v>
      </c>
      <c r="E8" s="6" t="s">
        <v>7</v>
      </c>
      <c r="F8" s="4" t="s">
        <v>8</v>
      </c>
      <c r="G8" s="20">
        <v>5.15</v>
      </c>
      <c r="H8" s="20">
        <v>0.96</v>
      </c>
      <c r="I8" s="20">
        <v>1.05575</v>
      </c>
      <c r="J8" s="20">
        <v>1.9312500000000001</v>
      </c>
      <c r="L8" s="40" t="s">
        <v>36</v>
      </c>
      <c r="M8" s="51">
        <f t="shared" si="0"/>
        <v>0.99731043478260861</v>
      </c>
      <c r="N8" s="52">
        <f t="shared" si="1"/>
        <v>0.86712515151515146</v>
      </c>
      <c r="O8" s="53">
        <f t="shared" si="2"/>
        <v>0.3200484615384615</v>
      </c>
      <c r="P8" s="43">
        <f t="shared" si="3"/>
        <v>0.86946363065394516</v>
      </c>
      <c r="Q8" s="34">
        <f t="shared" si="4"/>
        <v>0.3209115741461433</v>
      </c>
      <c r="R8" s="63"/>
      <c r="S8" s="81" t="s">
        <v>31</v>
      </c>
      <c r="T8" s="79">
        <v>0.47750000000000004</v>
      </c>
      <c r="U8" s="60">
        <v>2.5000000000000022E-2</v>
      </c>
      <c r="V8" s="80">
        <v>0</v>
      </c>
      <c r="W8" s="127"/>
      <c r="X8" s="95" t="s">
        <v>31</v>
      </c>
      <c r="Y8" s="89">
        <v>2.8862500000000004</v>
      </c>
      <c r="Z8" s="88">
        <v>1.9275</v>
      </c>
      <c r="AA8" s="90">
        <v>0.37021962570714373</v>
      </c>
      <c r="AC8" s="118" t="s">
        <v>65</v>
      </c>
      <c r="AD8" s="107">
        <v>0.10440000000000001</v>
      </c>
      <c r="AE8" s="108">
        <v>7.5800000000000006E-2</v>
      </c>
      <c r="AF8" s="108">
        <v>0.04</v>
      </c>
      <c r="AG8" s="108">
        <v>2.47E-2</v>
      </c>
      <c r="AH8" s="108">
        <v>2.64E-2</v>
      </c>
      <c r="AI8" s="108">
        <v>4.87E-2</v>
      </c>
      <c r="AJ8" s="108">
        <v>8.7499999999999994E-2</v>
      </c>
      <c r="AK8" s="109">
        <v>0.26629999999999998</v>
      </c>
    </row>
    <row r="9" spans="1:37" x14ac:dyDescent="0.25">
      <c r="A9" s="3" t="s">
        <v>5</v>
      </c>
      <c r="B9" s="3" t="s">
        <v>6</v>
      </c>
      <c r="C9" s="4">
        <v>214</v>
      </c>
      <c r="D9" s="5">
        <v>42123</v>
      </c>
      <c r="E9" s="6" t="s">
        <v>7</v>
      </c>
      <c r="F9" s="4" t="s">
        <v>9</v>
      </c>
      <c r="G9" s="20">
        <v>1.29</v>
      </c>
      <c r="H9" s="20">
        <v>0.56000000000000005</v>
      </c>
      <c r="I9" s="20">
        <v>6.9144000000000011E-2</v>
      </c>
      <c r="J9" s="20">
        <v>0.30702000000000002</v>
      </c>
      <c r="L9" s="40" t="s">
        <v>40</v>
      </c>
      <c r="M9" s="51">
        <f t="shared" si="0"/>
        <v>2.0884113333333336</v>
      </c>
      <c r="N9" s="52">
        <f t="shared" si="1"/>
        <v>1.8473964285714282</v>
      </c>
      <c r="O9" s="53">
        <f t="shared" si="2"/>
        <v>8.0761615384615376E-2</v>
      </c>
      <c r="P9" s="43">
        <f t="shared" si="3"/>
        <v>0.88459414057228891</v>
      </c>
      <c r="Q9" s="34">
        <f t="shared" si="4"/>
        <v>3.867131637123946E-2</v>
      </c>
      <c r="R9" s="63"/>
      <c r="S9" s="81" t="s">
        <v>36</v>
      </c>
      <c r="T9" s="79">
        <v>0.43999999999999995</v>
      </c>
      <c r="U9" s="60">
        <v>4.9999999999999961E-2</v>
      </c>
      <c r="V9" s="80">
        <v>5.3333333333333358E-2</v>
      </c>
      <c r="W9" s="127"/>
      <c r="X9" s="95" t="s">
        <v>36</v>
      </c>
      <c r="Y9" s="89">
        <v>2.2125000000000004</v>
      </c>
      <c r="Z9" s="88">
        <v>1.5249999999999999</v>
      </c>
      <c r="AA9" s="90">
        <v>0.42810978818576495</v>
      </c>
      <c r="AC9" s="118" t="s">
        <v>57</v>
      </c>
      <c r="AD9" s="107">
        <v>7.5999999999999998E-2</v>
      </c>
      <c r="AE9" s="108">
        <v>6.5199999999999994E-2</v>
      </c>
      <c r="AF9" s="108">
        <v>0.33789999999999998</v>
      </c>
      <c r="AG9" s="108">
        <v>4.2700000000000002E-2</v>
      </c>
      <c r="AH9" s="108">
        <v>5.0000000000000001E-4</v>
      </c>
      <c r="AI9" s="108">
        <v>9.7000000000000003E-3</v>
      </c>
      <c r="AJ9" s="108">
        <v>8.9099999999999999E-2</v>
      </c>
      <c r="AK9" s="109">
        <v>0.1158</v>
      </c>
    </row>
    <row r="10" spans="1:37" x14ac:dyDescent="0.25">
      <c r="A10" s="3" t="s">
        <v>5</v>
      </c>
      <c r="B10" s="3" t="s">
        <v>6</v>
      </c>
      <c r="C10" s="4">
        <v>215</v>
      </c>
      <c r="D10" s="5">
        <v>42123</v>
      </c>
      <c r="E10" s="6" t="s">
        <v>7</v>
      </c>
      <c r="F10" s="4" t="s">
        <v>9</v>
      </c>
      <c r="G10" s="20">
        <v>1.51</v>
      </c>
      <c r="H10" s="20">
        <v>0.44</v>
      </c>
      <c r="I10" s="20">
        <v>9.7546000000000008E-2</v>
      </c>
      <c r="J10" s="20">
        <v>0.39411000000000002</v>
      </c>
      <c r="L10" s="40" t="s">
        <v>42</v>
      </c>
      <c r="M10" s="51">
        <f t="shared" si="0"/>
        <v>2.6746233333333334</v>
      </c>
      <c r="N10" s="52">
        <f t="shared" si="1"/>
        <v>2.5690568421052631</v>
      </c>
      <c r="O10" s="53">
        <f t="shared" si="2"/>
        <v>0.85045999999999988</v>
      </c>
      <c r="P10" s="43">
        <f t="shared" si="3"/>
        <v>0.96053033340716998</v>
      </c>
      <c r="Q10" s="34">
        <f t="shared" si="4"/>
        <v>0.31797374583586219</v>
      </c>
      <c r="R10" s="63"/>
      <c r="S10" s="81" t="s">
        <v>40</v>
      </c>
      <c r="T10" s="79">
        <v>0.53</v>
      </c>
      <c r="U10" s="60">
        <v>0</v>
      </c>
      <c r="V10" s="80">
        <v>0</v>
      </c>
      <c r="W10" s="127"/>
      <c r="X10" s="95" t="s">
        <v>40</v>
      </c>
      <c r="Y10" s="89">
        <v>2.375</v>
      </c>
      <c r="Z10" s="88">
        <v>1.9474999999999998</v>
      </c>
      <c r="AA10" s="90">
        <v>0.48743627483225871</v>
      </c>
      <c r="AC10" s="118" t="s">
        <v>58</v>
      </c>
      <c r="AD10" s="107">
        <v>0.3296</v>
      </c>
      <c r="AE10" s="108">
        <v>6.6699999999999995E-2</v>
      </c>
      <c r="AF10" s="108">
        <v>1.5299999999999999E-2</v>
      </c>
      <c r="AG10" s="108">
        <v>0.1096</v>
      </c>
      <c r="AH10" s="108">
        <v>2.06E-2</v>
      </c>
      <c r="AI10" s="108">
        <v>2.5999999999999999E-2</v>
      </c>
      <c r="AJ10" s="108">
        <v>1.0200000000000001E-2</v>
      </c>
      <c r="AK10" s="109">
        <v>0.13850000000000001</v>
      </c>
    </row>
    <row r="11" spans="1:37" ht="16.5" thickBot="1" x14ac:dyDescent="0.3">
      <c r="A11" s="3" t="s">
        <v>5</v>
      </c>
      <c r="B11" s="3" t="s">
        <v>6</v>
      </c>
      <c r="C11" s="4">
        <v>519</v>
      </c>
      <c r="D11" s="5">
        <v>42171</v>
      </c>
      <c r="E11" s="6" t="s">
        <v>7</v>
      </c>
      <c r="F11" s="4" t="s">
        <v>11</v>
      </c>
      <c r="G11" s="20">
        <v>3.86</v>
      </c>
      <c r="H11" s="20">
        <v>0.4</v>
      </c>
      <c r="I11" s="20">
        <v>1.1965999999999999</v>
      </c>
      <c r="J11" s="20">
        <v>0.79129999999999989</v>
      </c>
      <c r="L11" s="41" t="s">
        <v>44</v>
      </c>
      <c r="M11" s="54">
        <f t="shared" si="0"/>
        <v>1.0065572222222223</v>
      </c>
      <c r="N11" s="55">
        <f t="shared" si="1"/>
        <v>0.87805933333333341</v>
      </c>
      <c r="O11" s="56">
        <f t="shared" si="2"/>
        <v>0.39610833333333334</v>
      </c>
      <c r="P11" s="44">
        <f t="shared" si="3"/>
        <v>0.87233921127186564</v>
      </c>
      <c r="Q11" s="36">
        <f t="shared" si="4"/>
        <v>0.39352788355025348</v>
      </c>
      <c r="R11" s="63"/>
      <c r="S11" s="81" t="s">
        <v>42</v>
      </c>
      <c r="T11" s="79">
        <v>0.26</v>
      </c>
      <c r="U11" s="60">
        <v>7.2500000000000009E-2</v>
      </c>
      <c r="V11" s="80">
        <v>0</v>
      </c>
      <c r="W11" s="127"/>
      <c r="X11" s="95" t="s">
        <v>42</v>
      </c>
      <c r="Y11" s="89">
        <v>1.7862499999999999</v>
      </c>
      <c r="Z11" s="88">
        <v>1.4275</v>
      </c>
      <c r="AA11" s="90">
        <v>0.17159214248125235</v>
      </c>
      <c r="AC11" s="119" t="s">
        <v>59</v>
      </c>
      <c r="AD11" s="113">
        <v>0.18909999999999999</v>
      </c>
      <c r="AE11" s="114">
        <v>0.38800000000000001</v>
      </c>
      <c r="AF11" s="114">
        <v>0.29089999999999999</v>
      </c>
      <c r="AG11" s="114">
        <v>1.5E-3</v>
      </c>
      <c r="AH11" s="114">
        <v>2E-3</v>
      </c>
      <c r="AI11" s="114">
        <v>1.6000000000000001E-3</v>
      </c>
      <c r="AJ11" s="114">
        <v>8.2299999999999998E-2</v>
      </c>
      <c r="AK11" s="115">
        <v>2.7300000000000001E-2</v>
      </c>
    </row>
    <row r="12" spans="1:37" ht="16.5" thickBot="1" x14ac:dyDescent="0.3">
      <c r="A12" s="3" t="s">
        <v>5</v>
      </c>
      <c r="B12" s="3" t="s">
        <v>6</v>
      </c>
      <c r="C12" s="4">
        <v>520</v>
      </c>
      <c r="D12" s="5">
        <v>42171</v>
      </c>
      <c r="E12" s="6" t="s">
        <v>7</v>
      </c>
      <c r="F12" s="4" t="s">
        <v>11</v>
      </c>
      <c r="G12" s="20">
        <v>3.77</v>
      </c>
      <c r="H12" s="20">
        <v>0.51</v>
      </c>
      <c r="I12" s="20">
        <v>1.2214800000000001</v>
      </c>
      <c r="J12" s="20">
        <v>0.72384000000000004</v>
      </c>
      <c r="S12" s="82" t="s">
        <v>44</v>
      </c>
      <c r="T12" s="83">
        <v>0.64200000000000013</v>
      </c>
      <c r="U12" s="61">
        <v>4.6000000000000013E-2</v>
      </c>
      <c r="V12" s="84">
        <v>8.0000000000000071E-3</v>
      </c>
      <c r="W12" s="127"/>
      <c r="X12" s="96" t="s">
        <v>44</v>
      </c>
      <c r="Y12" s="91">
        <v>2.2800000000000002</v>
      </c>
      <c r="Z12" s="92">
        <v>2.1760000000000002</v>
      </c>
      <c r="AA12" s="93">
        <v>0.51266814168720565</v>
      </c>
      <c r="AC12" s="117" t="s">
        <v>81</v>
      </c>
      <c r="AD12" s="37">
        <v>7.1800000000000003E-2</v>
      </c>
      <c r="AE12" s="116">
        <v>3.6799999999999999E-2</v>
      </c>
      <c r="AF12" s="116">
        <v>0.30640000000000001</v>
      </c>
      <c r="AG12" s="116">
        <v>5.8999999999999997E-2</v>
      </c>
      <c r="AH12" s="116">
        <v>6.9999999999999994E-5</v>
      </c>
      <c r="AI12" s="116">
        <v>2.5999999999999999E-2</v>
      </c>
      <c r="AJ12" s="116">
        <v>7.7200000000000005E-2</v>
      </c>
      <c r="AK12" s="38">
        <v>0.15609999999999999</v>
      </c>
    </row>
    <row r="13" spans="1:37" ht="16.5" thickBot="1" x14ac:dyDescent="0.3">
      <c r="A13" s="3" t="s">
        <v>5</v>
      </c>
      <c r="B13" s="3" t="s">
        <v>6</v>
      </c>
      <c r="C13" s="4">
        <v>521</v>
      </c>
      <c r="D13" s="5">
        <v>42171</v>
      </c>
      <c r="E13" s="6" t="s">
        <v>7</v>
      </c>
      <c r="F13" s="4" t="s">
        <v>9</v>
      </c>
      <c r="G13" s="20">
        <v>1.28</v>
      </c>
      <c r="H13" s="20">
        <v>0.48</v>
      </c>
      <c r="I13" s="20">
        <v>0.11993599999999999</v>
      </c>
      <c r="J13" s="20">
        <v>0.24448</v>
      </c>
      <c r="L13" s="31" t="s">
        <v>56</v>
      </c>
      <c r="M13" s="45" t="s">
        <v>52</v>
      </c>
      <c r="N13" s="46" t="s">
        <v>53</v>
      </c>
      <c r="O13" s="47" t="s">
        <v>9</v>
      </c>
      <c r="P13" s="28" t="s">
        <v>54</v>
      </c>
      <c r="Q13" s="29" t="s">
        <v>55</v>
      </c>
      <c r="R13" s="62"/>
      <c r="S13" s="63"/>
      <c r="T13" s="63"/>
      <c r="U13" s="63"/>
      <c r="V13" s="63"/>
      <c r="W13" s="63"/>
      <c r="X13" s="85"/>
      <c r="Y13" s="85"/>
      <c r="Z13" s="85"/>
      <c r="AA13" s="85"/>
      <c r="AC13" s="118" t="s">
        <v>82</v>
      </c>
      <c r="AD13" s="33">
        <v>0.113</v>
      </c>
      <c r="AE13" s="111">
        <v>0.1007</v>
      </c>
      <c r="AF13" s="111">
        <v>0.30809999999999998</v>
      </c>
      <c r="AG13" s="111">
        <v>4.4699999999999997E-2</v>
      </c>
      <c r="AH13" s="111">
        <v>1.6000000000000001E-3</v>
      </c>
      <c r="AI13" s="111">
        <v>8.2900000000000001E-2</v>
      </c>
      <c r="AJ13" s="111">
        <v>0.15579999999999999</v>
      </c>
      <c r="AK13" s="34">
        <v>0.2802</v>
      </c>
    </row>
    <row r="14" spans="1:37" ht="16.5" thickBot="1" x14ac:dyDescent="0.3">
      <c r="A14" s="3" t="s">
        <v>5</v>
      </c>
      <c r="B14" s="3" t="s">
        <v>6</v>
      </c>
      <c r="C14" s="4">
        <v>522</v>
      </c>
      <c r="D14" s="5">
        <v>42171</v>
      </c>
      <c r="E14" s="6" t="s">
        <v>10</v>
      </c>
      <c r="F14" s="4" t="s">
        <v>8</v>
      </c>
      <c r="G14" s="20">
        <v>4.7300000000000004</v>
      </c>
      <c r="H14" s="20">
        <v>0.46</v>
      </c>
      <c r="I14" s="20">
        <v>1.5514399999999999</v>
      </c>
      <c r="J14" s="20">
        <v>1.57982</v>
      </c>
      <c r="L14" s="57" t="s">
        <v>13</v>
      </c>
      <c r="M14" s="48">
        <f>AVERAGEIFS($J$2:$J$687,$B$2:$B$687,L14,$F$2:$F$687,"sham")</f>
        <v>1.0841641666666668</v>
      </c>
      <c r="N14" s="49">
        <f>AVERAGEIFS($J$2:$J$687,$B$2:$B$687,L14,$F$2:$F$687,"10cGy")</f>
        <v>1.0457836363636364</v>
      </c>
      <c r="O14" s="50">
        <f>AVERAGEIFS($J$2:$J$687,$B$2:$B$687,L14,$F$2:$F$687,"1Gy")</f>
        <v>0.53111799999999998</v>
      </c>
      <c r="P14" s="58">
        <f>N14/M14</f>
        <v>0.96459896805016732</v>
      </c>
      <c r="Q14" s="32">
        <f>O14/M14</f>
        <v>0.48988706353665679</v>
      </c>
      <c r="R14" s="63"/>
      <c r="S14" s="131" t="s">
        <v>77</v>
      </c>
      <c r="T14" s="132"/>
      <c r="U14" s="132"/>
      <c r="V14" s="133"/>
      <c r="W14" s="65"/>
      <c r="X14" s="63"/>
      <c r="Y14" s="63"/>
      <c r="Z14" s="63"/>
      <c r="AA14" s="63"/>
      <c r="AC14" s="120" t="s">
        <v>83</v>
      </c>
      <c r="AD14" s="35">
        <v>0.13700000000000001</v>
      </c>
      <c r="AE14" s="124">
        <v>0.49180000000000001</v>
      </c>
      <c r="AF14" s="112">
        <v>0.22770000000000001</v>
      </c>
      <c r="AG14" s="112">
        <v>8.2000000000000007E-3</v>
      </c>
      <c r="AH14" s="112">
        <v>3.7100000000000001E-2</v>
      </c>
      <c r="AI14" s="112">
        <v>7.0599999999999996E-2</v>
      </c>
      <c r="AJ14" s="112">
        <v>0.19339999999999999</v>
      </c>
      <c r="AK14" s="36">
        <v>1.4800000000000001E-2</v>
      </c>
    </row>
    <row r="15" spans="1:37" ht="16.5" thickBot="1" x14ac:dyDescent="0.3">
      <c r="A15" s="3" t="s">
        <v>5</v>
      </c>
      <c r="B15" s="3" t="s">
        <v>6</v>
      </c>
      <c r="C15" s="4">
        <v>523</v>
      </c>
      <c r="D15" s="5">
        <v>42171</v>
      </c>
      <c r="E15" s="6" t="s">
        <v>10</v>
      </c>
      <c r="F15" s="4" t="s">
        <v>9</v>
      </c>
      <c r="G15" s="20">
        <v>0.74</v>
      </c>
      <c r="H15" s="20">
        <v>0.37</v>
      </c>
      <c r="I15" s="20">
        <v>7.5479999999999992E-2</v>
      </c>
      <c r="J15" s="20">
        <v>0.14725999999999997</v>
      </c>
      <c r="L15" s="40" t="s">
        <v>17</v>
      </c>
      <c r="M15" s="51">
        <f t="shared" ref="M15:M23" si="5">AVERAGEIFS($J$2:$J$687,$B$2:$B$687,L15,$F$2:$F$687,"sham")</f>
        <v>1.7111833333333328</v>
      </c>
      <c r="N15" s="52">
        <f t="shared" ref="N15:N23" si="6">AVERAGEIFS($J$2:$J$687,$B$2:$B$687,L15,$F$2:$F$687,"10cGy")</f>
        <v>2.0085566666666663</v>
      </c>
      <c r="O15" s="53">
        <f t="shared" ref="O15:O23" si="7">AVERAGEIFS($J$2:$J$687,$B$2:$B$687,L15,$F$2:$F$687,"1Gy")</f>
        <v>0.62742249999999999</v>
      </c>
      <c r="P15" s="43">
        <f t="shared" ref="P15:P23" si="8">N15/M15</f>
        <v>1.1737822754234402</v>
      </c>
      <c r="Q15" s="34">
        <f t="shared" ref="Q15:Q23" si="9">O15/M15</f>
        <v>0.36666001110342755</v>
      </c>
      <c r="R15" s="63"/>
      <c r="S15" s="30"/>
      <c r="T15" s="78" t="s">
        <v>78</v>
      </c>
      <c r="U15" s="47" t="s">
        <v>79</v>
      </c>
      <c r="V15" s="47" t="s">
        <v>80</v>
      </c>
      <c r="W15" s="62"/>
      <c r="X15" s="65"/>
      <c r="Y15" s="65"/>
      <c r="Z15" s="65"/>
      <c r="AA15" s="65"/>
      <c r="AF15" s="125"/>
      <c r="AG15" s="125"/>
      <c r="AH15" s="125"/>
      <c r="AI15" s="125"/>
      <c r="AJ15" s="125"/>
    </row>
    <row r="16" spans="1:37" x14ac:dyDescent="0.25">
      <c r="A16" s="3" t="s">
        <v>5</v>
      </c>
      <c r="B16" s="3" t="s">
        <v>6</v>
      </c>
      <c r="C16" s="4">
        <v>585</v>
      </c>
      <c r="D16" s="5">
        <v>42171</v>
      </c>
      <c r="E16" s="7" t="s">
        <v>10</v>
      </c>
      <c r="F16" s="4" t="s">
        <v>8</v>
      </c>
      <c r="G16" s="20">
        <v>4.58</v>
      </c>
      <c r="H16" s="20">
        <v>0.87</v>
      </c>
      <c r="I16" s="20">
        <v>1.46102</v>
      </c>
      <c r="J16" s="20">
        <v>1.13584</v>
      </c>
      <c r="L16" s="40" t="s">
        <v>19</v>
      </c>
      <c r="M16" s="51">
        <f t="shared" si="5"/>
        <v>1.2414943846153845</v>
      </c>
      <c r="N16" s="52">
        <f t="shared" si="6"/>
        <v>0.90200690909090919</v>
      </c>
      <c r="O16" s="53">
        <f t="shared" si="7"/>
        <v>0.45374600000000004</v>
      </c>
      <c r="P16" s="43">
        <f t="shared" si="8"/>
        <v>0.72654932657657678</v>
      </c>
      <c r="Q16" s="34">
        <f t="shared" si="9"/>
        <v>0.36548373123779432</v>
      </c>
      <c r="R16" s="63"/>
      <c r="S16" s="81" t="s">
        <v>13</v>
      </c>
      <c r="T16" s="79">
        <v>4.1841666666666661</v>
      </c>
      <c r="U16" s="60">
        <v>0.60749999999999993</v>
      </c>
      <c r="V16" s="80">
        <v>0.28200000000000003</v>
      </c>
      <c r="W16" s="85"/>
      <c r="X16" s="62"/>
      <c r="Y16" s="62"/>
      <c r="Z16" s="62"/>
      <c r="AA16" s="62"/>
    </row>
    <row r="17" spans="1:37" x14ac:dyDescent="0.25">
      <c r="A17" s="3" t="s">
        <v>5</v>
      </c>
      <c r="B17" s="3" t="s">
        <v>6</v>
      </c>
      <c r="C17" s="4">
        <v>586</v>
      </c>
      <c r="D17" s="5">
        <v>42171</v>
      </c>
      <c r="E17" s="8" t="s">
        <v>10</v>
      </c>
      <c r="F17" s="4" t="s">
        <v>9</v>
      </c>
      <c r="G17" s="20">
        <v>0.9</v>
      </c>
      <c r="H17" s="20">
        <v>0.31</v>
      </c>
      <c r="I17" s="20">
        <v>6.5339999999999995E-2</v>
      </c>
      <c r="J17" s="20">
        <v>0.24030000000000001</v>
      </c>
      <c r="L17" s="40" t="s">
        <v>21</v>
      </c>
      <c r="M17" s="51">
        <f t="shared" si="5"/>
        <v>2.2265572727272729</v>
      </c>
      <c r="N17" s="52">
        <f t="shared" si="6"/>
        <v>1.9279565517241379</v>
      </c>
      <c r="O17" s="53">
        <f t="shared" si="7"/>
        <v>0.80914928571428568</v>
      </c>
      <c r="P17" s="43">
        <f t="shared" si="8"/>
        <v>0.86589129116028352</v>
      </c>
      <c r="Q17" s="34">
        <f t="shared" si="9"/>
        <v>0.36340825166521418</v>
      </c>
      <c r="R17" s="63"/>
      <c r="S17" s="81" t="s">
        <v>17</v>
      </c>
      <c r="T17" s="79">
        <v>3.1363333333333334</v>
      </c>
      <c r="U17" s="60">
        <v>0.29399999999999998</v>
      </c>
      <c r="V17" s="80">
        <v>0.19600000000000004</v>
      </c>
      <c r="W17" s="85"/>
      <c r="X17" s="85"/>
      <c r="Y17" s="85"/>
      <c r="Z17" s="85"/>
      <c r="AA17" s="85"/>
      <c r="AC17" t="s">
        <v>90</v>
      </c>
      <c r="AD17" t="s">
        <v>95</v>
      </c>
      <c r="AE17" t="s">
        <v>91</v>
      </c>
      <c r="AF17" t="s">
        <v>96</v>
      </c>
      <c r="AG17" t="s">
        <v>92</v>
      </c>
      <c r="AH17" t="s">
        <v>93</v>
      </c>
      <c r="AI17" t="s">
        <v>97</v>
      </c>
      <c r="AJ17" t="s">
        <v>94</v>
      </c>
      <c r="AK17" t="s">
        <v>98</v>
      </c>
    </row>
    <row r="18" spans="1:37" x14ac:dyDescent="0.25">
      <c r="A18" s="3" t="s">
        <v>5</v>
      </c>
      <c r="B18" s="3" t="s">
        <v>6</v>
      </c>
      <c r="C18" s="4">
        <v>587</v>
      </c>
      <c r="D18" s="5">
        <v>42171</v>
      </c>
      <c r="E18" s="8" t="s">
        <v>7</v>
      </c>
      <c r="F18" s="4" t="s">
        <v>8</v>
      </c>
      <c r="G18" s="20">
        <v>2.87</v>
      </c>
      <c r="H18" s="20">
        <v>0.42</v>
      </c>
      <c r="I18" s="20">
        <v>0.94135999999999986</v>
      </c>
      <c r="J18" s="20">
        <v>0.74620000000000009</v>
      </c>
      <c r="L18" s="40" t="s">
        <v>27</v>
      </c>
      <c r="M18" s="51">
        <f t="shared" si="5"/>
        <v>0.76890625000000001</v>
      </c>
      <c r="N18" s="52">
        <f t="shared" si="6"/>
        <v>0.74926800000000005</v>
      </c>
      <c r="O18" s="53">
        <f t="shared" si="7"/>
        <v>0.41837071428571432</v>
      </c>
      <c r="P18" s="43">
        <f t="shared" si="8"/>
        <v>0.97445950010160542</v>
      </c>
      <c r="Q18" s="34">
        <f t="shared" si="9"/>
        <v>0.54411147560019746</v>
      </c>
      <c r="R18" s="63"/>
      <c r="S18" s="81" t="s">
        <v>19</v>
      </c>
      <c r="T18" s="79">
        <v>2.3099999999999996</v>
      </c>
      <c r="U18" s="60">
        <v>0.32444444444444448</v>
      </c>
      <c r="V18" s="80">
        <v>0.18111111111111111</v>
      </c>
      <c r="W18" s="85"/>
      <c r="X18" s="85"/>
      <c r="Y18" s="85"/>
      <c r="Z18" s="85"/>
      <c r="AA18" s="85"/>
      <c r="AB18" t="s">
        <v>86</v>
      </c>
      <c r="AC18">
        <v>5.3846308758184902</v>
      </c>
      <c r="AD18">
        <v>0.88706907899116605</v>
      </c>
      <c r="AE18">
        <v>6.10926035796136</v>
      </c>
      <c r="AF18">
        <v>0.85723767664167405</v>
      </c>
      <c r="AG18">
        <v>4.24544203233628</v>
      </c>
      <c r="AH18">
        <v>9.05665854075162</v>
      </c>
      <c r="AI18">
        <v>3.6141720121635532</v>
      </c>
      <c r="AJ18">
        <v>20.261997554665701</v>
      </c>
      <c r="AK18">
        <v>9.05665854075162</v>
      </c>
    </row>
    <row r="19" spans="1:37" x14ac:dyDescent="0.25">
      <c r="A19" s="3" t="s">
        <v>5</v>
      </c>
      <c r="B19" s="3" t="s">
        <v>6</v>
      </c>
      <c r="C19" s="4">
        <v>588</v>
      </c>
      <c r="D19" s="5">
        <v>42171</v>
      </c>
      <c r="E19" s="7" t="s">
        <v>7</v>
      </c>
      <c r="F19" s="4" t="s">
        <v>11</v>
      </c>
      <c r="G19" s="20">
        <v>2.4300000000000002</v>
      </c>
      <c r="H19" s="20">
        <v>0.59</v>
      </c>
      <c r="I19" s="20">
        <v>0.6293700000000001</v>
      </c>
      <c r="J19" s="20">
        <v>0.65124000000000004</v>
      </c>
      <c r="L19" s="40" t="s">
        <v>31</v>
      </c>
      <c r="M19" s="51">
        <f t="shared" si="5"/>
        <v>1.5113292592592589</v>
      </c>
      <c r="N19" s="52">
        <f t="shared" si="6"/>
        <v>1.430456875</v>
      </c>
      <c r="O19" s="53">
        <f t="shared" si="7"/>
        <v>1.0683735294117647</v>
      </c>
      <c r="P19" s="43">
        <f t="shared" si="8"/>
        <v>0.94648923537754004</v>
      </c>
      <c r="Q19" s="34">
        <f t="shared" si="9"/>
        <v>0.70690984301819304</v>
      </c>
      <c r="R19" s="63"/>
      <c r="S19" s="81" t="s">
        <v>21</v>
      </c>
      <c r="T19" s="79">
        <v>2.0425</v>
      </c>
      <c r="U19" s="60">
        <v>0.16999999999999998</v>
      </c>
      <c r="V19" s="80">
        <v>5.2500000000000019E-2</v>
      </c>
      <c r="W19" s="85"/>
      <c r="X19" s="85"/>
      <c r="Y19" s="85"/>
      <c r="Z19" s="85"/>
      <c r="AA19" s="85"/>
      <c r="AB19" t="s">
        <v>87</v>
      </c>
      <c r="AC19">
        <v>7.2797006147032697</v>
      </c>
      <c r="AD19">
        <v>0.90177099213016099</v>
      </c>
      <c r="AE19">
        <v>6.9942103529647</v>
      </c>
      <c r="AF19">
        <v>0.90753741576009805</v>
      </c>
      <c r="AG19">
        <v>2.3854505097362102</v>
      </c>
      <c r="AH19">
        <v>10.195734727808601</v>
      </c>
      <c r="AI19">
        <v>3.8112864197929901</v>
      </c>
      <c r="AJ19">
        <v>26.947274517523098</v>
      </c>
      <c r="AK19">
        <v>10.195734727808601</v>
      </c>
    </row>
    <row r="20" spans="1:37" x14ac:dyDescent="0.25">
      <c r="A20" s="3" t="s">
        <v>5</v>
      </c>
      <c r="B20" s="3" t="s">
        <v>6</v>
      </c>
      <c r="C20" s="4">
        <v>589</v>
      </c>
      <c r="D20" s="5">
        <v>42171</v>
      </c>
      <c r="E20" s="9" t="s">
        <v>7</v>
      </c>
      <c r="F20" s="4" t="s">
        <v>11</v>
      </c>
      <c r="G20" s="20">
        <v>3.64</v>
      </c>
      <c r="H20" s="20">
        <v>0.88</v>
      </c>
      <c r="I20" s="20">
        <v>0.94276000000000004</v>
      </c>
      <c r="J20" s="20">
        <v>0.91364000000000001</v>
      </c>
      <c r="L20" s="40" t="s">
        <v>36</v>
      </c>
      <c r="M20" s="51">
        <f t="shared" si="5"/>
        <v>0.78681260869565217</v>
      </c>
      <c r="N20" s="52">
        <f t="shared" si="6"/>
        <v>0.71014393939393938</v>
      </c>
      <c r="O20" s="53">
        <f t="shared" si="7"/>
        <v>0.57824153846153858</v>
      </c>
      <c r="P20" s="43">
        <f t="shared" si="8"/>
        <v>0.90255790457042728</v>
      </c>
      <c r="Q20" s="34">
        <f t="shared" si="9"/>
        <v>0.73491646177369385</v>
      </c>
      <c r="R20" s="63"/>
      <c r="S20" s="81" t="s">
        <v>27</v>
      </c>
      <c r="T20" s="79">
        <v>3.1</v>
      </c>
      <c r="U20" s="60">
        <v>0.39500000000000002</v>
      </c>
      <c r="V20" s="80">
        <v>9.4999999999999973E-2</v>
      </c>
      <c r="W20" s="85"/>
      <c r="X20" s="85"/>
      <c r="Y20" s="85"/>
      <c r="Z20" s="85"/>
      <c r="AA20" s="85"/>
      <c r="AB20" t="s">
        <v>88</v>
      </c>
      <c r="AC20">
        <v>6.04458282998326</v>
      </c>
      <c r="AD20">
        <v>0.87988504631424902</v>
      </c>
      <c r="AE20">
        <v>7.7699679391821199</v>
      </c>
      <c r="AF20">
        <v>0.87286613661907597</v>
      </c>
      <c r="AG20">
        <v>2.8029287472294002</v>
      </c>
      <c r="AH20">
        <v>11.6650308922381</v>
      </c>
      <c r="AI20">
        <v>4.22015351843421</v>
      </c>
      <c r="AJ20">
        <v>29.518451429337599</v>
      </c>
      <c r="AK20">
        <v>11.6650308922381</v>
      </c>
    </row>
    <row r="21" spans="1:37" x14ac:dyDescent="0.25">
      <c r="A21" s="3" t="s">
        <v>12</v>
      </c>
      <c r="B21" s="3" t="s">
        <v>13</v>
      </c>
      <c r="C21" s="4">
        <v>259</v>
      </c>
      <c r="D21" s="5">
        <v>42136</v>
      </c>
      <c r="E21" s="3" t="s">
        <v>10</v>
      </c>
      <c r="F21" s="4" t="s">
        <v>8</v>
      </c>
      <c r="G21" s="20">
        <v>4.24</v>
      </c>
      <c r="H21" s="20">
        <v>0.39</v>
      </c>
      <c r="I21" s="20">
        <v>2.0436800000000002</v>
      </c>
      <c r="J21" s="20">
        <v>1.04728</v>
      </c>
      <c r="L21" s="40" t="s">
        <v>40</v>
      </c>
      <c r="M21" s="51">
        <f t="shared" si="5"/>
        <v>1.2665653333333331</v>
      </c>
      <c r="N21" s="52">
        <f t="shared" si="6"/>
        <v>1.3264085714285714</v>
      </c>
      <c r="O21" s="53">
        <f t="shared" si="7"/>
        <v>0.36642846153846159</v>
      </c>
      <c r="P21" s="43">
        <f t="shared" si="8"/>
        <v>1.0472484415294578</v>
      </c>
      <c r="Q21" s="34">
        <f t="shared" si="9"/>
        <v>0.28930877223214302</v>
      </c>
      <c r="R21" s="63"/>
      <c r="S21" s="81" t="s">
        <v>31</v>
      </c>
      <c r="T21" s="79">
        <v>3.125</v>
      </c>
      <c r="U21" s="60">
        <v>0.59</v>
      </c>
      <c r="V21" s="80">
        <v>0.14500000000000002</v>
      </c>
      <c r="W21" s="85"/>
      <c r="X21" s="85"/>
      <c r="Y21" s="85"/>
      <c r="Z21" s="85"/>
      <c r="AA21" s="85"/>
      <c r="AB21" t="s">
        <v>85</v>
      </c>
      <c r="AC21">
        <v>5.2886282417547701</v>
      </c>
      <c r="AD21">
        <v>0.88138529285167899</v>
      </c>
      <c r="AE21">
        <v>6.4638731845622797</v>
      </c>
      <c r="AF21">
        <v>0.86890958520772898</v>
      </c>
      <c r="AG21">
        <v>2.6739664836414399</v>
      </c>
      <c r="AH21">
        <v>9.0333445978229694</v>
      </c>
      <c r="AI21">
        <v>3.5618668299979737</v>
      </c>
      <c r="AJ21">
        <v>22.339623866765201</v>
      </c>
      <c r="AK21">
        <v>9.0333445978229694</v>
      </c>
    </row>
    <row r="22" spans="1:37" x14ac:dyDescent="0.25">
      <c r="A22" s="3" t="s">
        <v>12</v>
      </c>
      <c r="B22" s="3" t="s">
        <v>13</v>
      </c>
      <c r="C22" s="4">
        <v>769</v>
      </c>
      <c r="D22" s="5">
        <v>42221</v>
      </c>
      <c r="E22" s="3" t="s">
        <v>10</v>
      </c>
      <c r="F22" s="4" t="s">
        <v>8</v>
      </c>
      <c r="G22" s="20">
        <v>3.19</v>
      </c>
      <c r="H22" s="20">
        <v>0.53</v>
      </c>
      <c r="I22" s="20">
        <v>1.0463199999999999</v>
      </c>
      <c r="J22" s="20">
        <v>0.80706999999999995</v>
      </c>
      <c r="L22" s="40" t="s">
        <v>42</v>
      </c>
      <c r="M22" s="51">
        <f t="shared" si="5"/>
        <v>2.3980765833333333</v>
      </c>
      <c r="N22" s="52">
        <f t="shared" si="6"/>
        <v>1.9977206315789475</v>
      </c>
      <c r="O22" s="53">
        <f t="shared" si="7"/>
        <v>1.0672133333333336</v>
      </c>
      <c r="P22" s="43">
        <f t="shared" si="8"/>
        <v>0.83305122341093463</v>
      </c>
      <c r="Q22" s="34">
        <f t="shared" si="9"/>
        <v>0.44502887887337778</v>
      </c>
      <c r="R22" s="63"/>
      <c r="S22" s="81" t="s">
        <v>36</v>
      </c>
      <c r="T22" s="79">
        <v>2.42</v>
      </c>
      <c r="U22" s="60">
        <v>0.24</v>
      </c>
      <c r="V22" s="80">
        <v>0.13</v>
      </c>
      <c r="W22" s="85"/>
      <c r="X22" s="85"/>
      <c r="Y22" s="85"/>
      <c r="Z22" s="85"/>
      <c r="AA22" s="85"/>
      <c r="AB22" t="s">
        <v>89</v>
      </c>
      <c r="AC22">
        <v>6.2424646338974297</v>
      </c>
      <c r="AD22">
        <v>0.88424278109684995</v>
      </c>
      <c r="AE22">
        <v>7.5134753183892098</v>
      </c>
      <c r="AF22">
        <v>0.86876757112821101</v>
      </c>
      <c r="AG22">
        <v>3.1569833234654801</v>
      </c>
      <c r="AH22">
        <v>10.072893335806301</v>
      </c>
      <c r="AI22">
        <v>2.8177823410928671</v>
      </c>
      <c r="AJ22">
        <v>22.421855467368999</v>
      </c>
      <c r="AK22">
        <v>10.072893335806301</v>
      </c>
    </row>
    <row r="23" spans="1:37" ht="16.5" thickBot="1" x14ac:dyDescent="0.3">
      <c r="A23" s="3" t="s">
        <v>12</v>
      </c>
      <c r="B23" s="3" t="s">
        <v>13</v>
      </c>
      <c r="C23" s="4">
        <v>770</v>
      </c>
      <c r="D23" s="5">
        <v>42221</v>
      </c>
      <c r="E23" s="3" t="s">
        <v>10</v>
      </c>
      <c r="F23" s="4" t="s">
        <v>9</v>
      </c>
      <c r="G23" s="20">
        <v>2.39</v>
      </c>
      <c r="H23" s="20">
        <v>0.2</v>
      </c>
      <c r="I23" s="20">
        <v>0.71221999999999996</v>
      </c>
      <c r="J23" s="20">
        <v>0.62379000000000007</v>
      </c>
      <c r="L23" s="41" t="s">
        <v>44</v>
      </c>
      <c r="M23" s="54">
        <f t="shared" si="5"/>
        <v>0.96326055555555556</v>
      </c>
      <c r="N23" s="55">
        <f t="shared" si="6"/>
        <v>0.87683666666666682</v>
      </c>
      <c r="O23" s="56">
        <f t="shared" si="7"/>
        <v>0.71942933333333348</v>
      </c>
      <c r="P23" s="44">
        <f t="shared" si="8"/>
        <v>0.91027984236410031</v>
      </c>
      <c r="Q23" s="36">
        <f t="shared" si="9"/>
        <v>0.7468688810977071</v>
      </c>
      <c r="R23" s="63"/>
      <c r="S23" s="81" t="s">
        <v>40</v>
      </c>
      <c r="T23" s="79">
        <v>3.1849999999999996</v>
      </c>
      <c r="U23" s="60">
        <v>0.27</v>
      </c>
      <c r="V23" s="80">
        <v>0.09</v>
      </c>
      <c r="W23" s="85"/>
      <c r="X23" s="85"/>
      <c r="Y23" s="85"/>
      <c r="Z23" s="85"/>
      <c r="AA23" s="85"/>
      <c r="AB23" t="s">
        <v>13</v>
      </c>
      <c r="AC23">
        <v>5.5249998919910199</v>
      </c>
      <c r="AD23">
        <v>0.87371598925234695</v>
      </c>
      <c r="AE23">
        <v>6.1430720728562802</v>
      </c>
      <c r="AF23">
        <v>0.87657366984803198</v>
      </c>
      <c r="AG23">
        <v>2.88240207989766</v>
      </c>
      <c r="AH23">
        <v>10.201013305631299</v>
      </c>
      <c r="AI23">
        <v>3.2334041727192835</v>
      </c>
      <c r="AJ23">
        <v>34.808323608186399</v>
      </c>
      <c r="AK23">
        <v>10.201013305631299</v>
      </c>
    </row>
    <row r="24" spans="1:37" x14ac:dyDescent="0.25">
      <c r="A24" s="3" t="s">
        <v>12</v>
      </c>
      <c r="B24" s="3" t="s">
        <v>13</v>
      </c>
      <c r="C24" s="4">
        <v>771</v>
      </c>
      <c r="D24" s="5">
        <v>42221</v>
      </c>
      <c r="E24" s="3" t="s">
        <v>7</v>
      </c>
      <c r="F24" s="4" t="s">
        <v>8</v>
      </c>
      <c r="G24" s="20">
        <v>3.31</v>
      </c>
      <c r="H24" s="20">
        <v>0.54</v>
      </c>
      <c r="I24" s="20">
        <v>1.0923</v>
      </c>
      <c r="J24" s="20">
        <v>0.53622000000000003</v>
      </c>
      <c r="S24" s="81" t="s">
        <v>42</v>
      </c>
      <c r="T24" s="79">
        <v>2.2149999999999999</v>
      </c>
      <c r="U24" s="60">
        <v>0.38500000000000006</v>
      </c>
      <c r="V24" s="80">
        <v>5.9999999999999942E-2</v>
      </c>
      <c r="W24" s="85"/>
      <c r="X24" s="85"/>
      <c r="Y24" s="85"/>
      <c r="Z24" s="85"/>
      <c r="AA24" s="85"/>
      <c r="AB24" t="s">
        <v>17</v>
      </c>
      <c r="AC24">
        <v>6.2976920188016203</v>
      </c>
      <c r="AD24">
        <v>0.89448360814332695</v>
      </c>
      <c r="AE24">
        <v>6.6107177565660704</v>
      </c>
      <c r="AF24">
        <v>0.91326127159688497</v>
      </c>
      <c r="AG24">
        <v>2.7994094320715801</v>
      </c>
      <c r="AH24">
        <v>9.5533813997801609</v>
      </c>
      <c r="AI24">
        <v>4.3946552220831707</v>
      </c>
      <c r="AJ24">
        <v>22.518947569072299</v>
      </c>
      <c r="AK24">
        <v>9.5533813997801609</v>
      </c>
    </row>
    <row r="25" spans="1:37" ht="16.5" thickBot="1" x14ac:dyDescent="0.3">
      <c r="A25" s="3" t="s">
        <v>12</v>
      </c>
      <c r="B25" s="3" t="s">
        <v>13</v>
      </c>
      <c r="C25" s="4">
        <v>772</v>
      </c>
      <c r="D25" s="5">
        <v>42221</v>
      </c>
      <c r="E25" s="3" t="s">
        <v>7</v>
      </c>
      <c r="F25" s="4" t="s">
        <v>8</v>
      </c>
      <c r="G25" s="20">
        <v>3.62</v>
      </c>
      <c r="H25" s="20">
        <v>1.0900000000000001</v>
      </c>
      <c r="I25" s="20">
        <v>1.29596</v>
      </c>
      <c r="J25" s="20">
        <v>0.67332000000000014</v>
      </c>
      <c r="S25" s="82" t="s">
        <v>44</v>
      </c>
      <c r="T25" s="83">
        <v>3.5819999999999999</v>
      </c>
      <c r="U25" s="61">
        <v>0.43800000000000006</v>
      </c>
      <c r="V25" s="84">
        <v>0.17200000000000001</v>
      </c>
      <c r="W25" s="85"/>
      <c r="X25" s="85"/>
      <c r="Y25" s="85"/>
      <c r="Z25" s="85"/>
      <c r="AA25" s="85"/>
      <c r="AB25" t="s">
        <v>19</v>
      </c>
      <c r="AC25">
        <v>4.0569214068125197</v>
      </c>
      <c r="AD25">
        <v>0.80669125205743997</v>
      </c>
      <c r="AE25">
        <v>4.9886443193071601</v>
      </c>
      <c r="AF25">
        <v>0.880612063032012</v>
      </c>
      <c r="AG25">
        <v>2.0871700343307902</v>
      </c>
      <c r="AH25">
        <v>10.572801305319301</v>
      </c>
      <c r="AI25">
        <v>5.6815990172937889</v>
      </c>
      <c r="AJ25">
        <v>25.233659695153499</v>
      </c>
      <c r="AK25">
        <v>10.572801305319301</v>
      </c>
    </row>
    <row r="26" spans="1:37" ht="16.5" thickBot="1" x14ac:dyDescent="0.3">
      <c r="A26" s="3" t="s">
        <v>12</v>
      </c>
      <c r="B26" s="3" t="s">
        <v>13</v>
      </c>
      <c r="C26" s="4">
        <v>773</v>
      </c>
      <c r="D26" s="5">
        <v>42221</v>
      </c>
      <c r="E26" s="3" t="s">
        <v>7</v>
      </c>
      <c r="F26" s="4" t="s">
        <v>9</v>
      </c>
      <c r="G26" s="20">
        <v>1.86</v>
      </c>
      <c r="H26" s="20">
        <v>1.25</v>
      </c>
      <c r="I26" s="20">
        <v>0.52823999999999993</v>
      </c>
      <c r="J26" s="20">
        <v>0.28272000000000003</v>
      </c>
      <c r="X26" s="85"/>
      <c r="Y26" s="85"/>
      <c r="Z26" s="85"/>
      <c r="AA26" s="85"/>
      <c r="AB26" t="s">
        <v>21</v>
      </c>
      <c r="AC26">
        <v>4.4745192678947001</v>
      </c>
      <c r="AD26">
        <v>0.91842112661123498</v>
      </c>
      <c r="AE26">
        <v>5.63260117879791</v>
      </c>
      <c r="AF26">
        <v>0.93238515028481805</v>
      </c>
      <c r="AG26">
        <v>2.18623492436731</v>
      </c>
      <c r="AH26">
        <v>13.1865401561671</v>
      </c>
      <c r="AI26">
        <v>7.6177345921737887</v>
      </c>
      <c r="AJ26">
        <v>22.224782747327101</v>
      </c>
      <c r="AK26">
        <v>13.1865401561671</v>
      </c>
    </row>
    <row r="27" spans="1:37" ht="16.5" thickBot="1" x14ac:dyDescent="0.3">
      <c r="A27" s="3" t="s">
        <v>12</v>
      </c>
      <c r="B27" s="3" t="s">
        <v>13</v>
      </c>
      <c r="C27" s="4">
        <v>774</v>
      </c>
      <c r="D27" s="5">
        <v>42221</v>
      </c>
      <c r="E27" s="3" t="s">
        <v>7</v>
      </c>
      <c r="F27" s="4" t="s">
        <v>9</v>
      </c>
      <c r="G27" s="20">
        <v>2.13</v>
      </c>
      <c r="H27" s="20">
        <v>0.99</v>
      </c>
      <c r="I27" s="20">
        <v>0.7412399999999999</v>
      </c>
      <c r="J27" s="20">
        <v>0.33227999999999996</v>
      </c>
      <c r="S27" s="131" t="s">
        <v>74</v>
      </c>
      <c r="T27" s="132"/>
      <c r="U27" s="132"/>
      <c r="V27" s="133"/>
      <c r="W27" s="65"/>
      <c r="AB27" t="s">
        <v>27</v>
      </c>
      <c r="AC27">
        <v>8.90225792905383</v>
      </c>
      <c r="AD27">
        <v>0.913763662669698</v>
      </c>
      <c r="AE27">
        <v>6.0399520985349904</v>
      </c>
      <c r="AF27">
        <v>0.91337873170448503</v>
      </c>
      <c r="AG27">
        <v>3.5157899288180801</v>
      </c>
      <c r="AH27">
        <v>10.433571432128501</v>
      </c>
      <c r="AI27">
        <v>4.4387625197935812</v>
      </c>
      <c r="AJ27">
        <v>29.749116416146599</v>
      </c>
      <c r="AK27">
        <v>10.433571432128501</v>
      </c>
    </row>
    <row r="28" spans="1:37" ht="16.5" thickBot="1" x14ac:dyDescent="0.3">
      <c r="A28" s="3" t="s">
        <v>12</v>
      </c>
      <c r="B28" s="3" t="s">
        <v>13</v>
      </c>
      <c r="C28" s="4">
        <v>780</v>
      </c>
      <c r="D28" s="10">
        <v>42242</v>
      </c>
      <c r="E28" s="3" t="s">
        <v>7</v>
      </c>
      <c r="F28" s="4" t="s">
        <v>8</v>
      </c>
      <c r="G28" s="20">
        <v>3.61</v>
      </c>
      <c r="H28" s="20">
        <v>0.71</v>
      </c>
      <c r="I28" s="20">
        <v>1.4367799999999997</v>
      </c>
      <c r="J28" s="20">
        <v>1.0180199999999999</v>
      </c>
      <c r="S28" s="30" t="s">
        <v>75</v>
      </c>
      <c r="T28" s="66">
        <v>4</v>
      </c>
      <c r="U28" s="67">
        <v>24</v>
      </c>
      <c r="V28" s="68">
        <v>48</v>
      </c>
      <c r="W28" s="86"/>
      <c r="X28" s="65"/>
      <c r="Y28" s="65"/>
      <c r="Z28" s="65"/>
      <c r="AA28" s="65"/>
      <c r="AB28" t="s">
        <v>31</v>
      </c>
      <c r="AC28">
        <v>4.3812192056739097</v>
      </c>
      <c r="AD28">
        <v>0.873669463796096</v>
      </c>
      <c r="AE28">
        <v>7.0696550228495898</v>
      </c>
      <c r="AF28">
        <v>0.87461235076312305</v>
      </c>
      <c r="AG28">
        <v>2.4594587532301402</v>
      </c>
      <c r="AH28">
        <v>10.595603132656301</v>
      </c>
      <c r="AI28">
        <v>4.0301495172584278</v>
      </c>
      <c r="AJ28">
        <v>20.8303716252741</v>
      </c>
      <c r="AK28">
        <v>10.595603132656301</v>
      </c>
    </row>
    <row r="29" spans="1:37" x14ac:dyDescent="0.25">
      <c r="A29" s="3" t="s">
        <v>12</v>
      </c>
      <c r="B29" s="3" t="s">
        <v>13</v>
      </c>
      <c r="C29" s="4">
        <v>781</v>
      </c>
      <c r="D29" s="10">
        <v>42242</v>
      </c>
      <c r="E29" s="3" t="s">
        <v>7</v>
      </c>
      <c r="F29" s="4" t="s">
        <v>11</v>
      </c>
      <c r="G29" s="20">
        <v>5.52</v>
      </c>
      <c r="H29" s="20">
        <v>0.96</v>
      </c>
      <c r="I29" s="20">
        <v>2.6330399999999998</v>
      </c>
      <c r="J29" s="20">
        <v>1.3965599999999998</v>
      </c>
      <c r="S29" s="73" t="s">
        <v>13</v>
      </c>
      <c r="T29" s="70">
        <v>4.84</v>
      </c>
      <c r="U29" s="71">
        <v>1.52</v>
      </c>
      <c r="V29" s="72">
        <v>2.1719999999999997</v>
      </c>
      <c r="W29" s="69"/>
      <c r="X29" s="86"/>
      <c r="Y29" s="86"/>
      <c r="Z29" s="86"/>
      <c r="AA29" s="86"/>
      <c r="AB29" t="s">
        <v>36</v>
      </c>
      <c r="AC29">
        <v>5.5489078009072799</v>
      </c>
      <c r="AD29">
        <v>0.88819076990722301</v>
      </c>
      <c r="AE29">
        <v>5.3096925654526697</v>
      </c>
      <c r="AF29">
        <v>0.902077960146075</v>
      </c>
      <c r="AG29">
        <v>2.1468568252481899</v>
      </c>
      <c r="AH29">
        <v>8.4612111253032207</v>
      </c>
      <c r="AI29">
        <v>4.8774590513403089</v>
      </c>
      <c r="AJ29">
        <v>22.592091985028699</v>
      </c>
      <c r="AK29">
        <v>8.4612111253032207</v>
      </c>
    </row>
    <row r="30" spans="1:37" x14ac:dyDescent="0.25">
      <c r="A30" s="3" t="s">
        <v>12</v>
      </c>
      <c r="B30" s="3" t="s">
        <v>13</v>
      </c>
      <c r="C30" s="4">
        <v>782</v>
      </c>
      <c r="D30" s="10">
        <v>42242</v>
      </c>
      <c r="E30" s="3" t="s">
        <v>10</v>
      </c>
      <c r="F30" s="4" t="s">
        <v>8</v>
      </c>
      <c r="G30" s="20">
        <v>3.22</v>
      </c>
      <c r="H30" s="20">
        <v>0.82</v>
      </c>
      <c r="I30" s="20">
        <v>1.0465000000000002</v>
      </c>
      <c r="J30" s="20">
        <v>0.97888000000000008</v>
      </c>
      <c r="S30" s="73" t="s">
        <v>17</v>
      </c>
      <c r="T30" s="70">
        <v>4.4783333333333326</v>
      </c>
      <c r="U30" s="71">
        <v>0.91200000000000014</v>
      </c>
      <c r="V30" s="72">
        <v>1.6640000000000001</v>
      </c>
      <c r="W30" s="69"/>
      <c r="X30" s="69"/>
      <c r="Y30" s="69"/>
      <c r="Z30" s="69"/>
      <c r="AA30" s="69"/>
      <c r="AB30" t="s">
        <v>40</v>
      </c>
      <c r="AC30">
        <v>5.5857589778162504</v>
      </c>
      <c r="AD30">
        <v>0.88437859438123001</v>
      </c>
      <c r="AE30">
        <v>6.0683044280957397</v>
      </c>
      <c r="AF30">
        <v>0.875893729163569</v>
      </c>
      <c r="AG30">
        <v>2.3337506264931598</v>
      </c>
      <c r="AH30">
        <v>9.52007897397025</v>
      </c>
      <c r="AI30">
        <v>4.4026523907843389</v>
      </c>
      <c r="AJ30">
        <v>24.045980244816899</v>
      </c>
      <c r="AK30">
        <v>9.52007897397025</v>
      </c>
    </row>
    <row r="31" spans="1:37" x14ac:dyDescent="0.25">
      <c r="A31" s="3" t="s">
        <v>12</v>
      </c>
      <c r="B31" s="3" t="s">
        <v>13</v>
      </c>
      <c r="C31" s="11">
        <v>783</v>
      </c>
      <c r="D31" s="10">
        <v>42242</v>
      </c>
      <c r="E31" s="12" t="s">
        <v>10</v>
      </c>
      <c r="F31" s="11" t="s">
        <v>11</v>
      </c>
      <c r="G31" s="20">
        <v>3.74</v>
      </c>
      <c r="H31" s="20">
        <v>0.79</v>
      </c>
      <c r="I31" s="20">
        <v>1.5371400000000002</v>
      </c>
      <c r="J31" s="20">
        <v>0.99484000000000006</v>
      </c>
      <c r="S31" s="73" t="s">
        <v>19</v>
      </c>
      <c r="T31" s="70">
        <v>3.4504761904761905</v>
      </c>
      <c r="U31" s="71">
        <v>1.1744444444444444</v>
      </c>
      <c r="V31" s="72">
        <v>1.4455555555555555</v>
      </c>
      <c r="W31" s="69"/>
      <c r="X31" s="69"/>
      <c r="Y31" s="69"/>
      <c r="Z31" s="69"/>
      <c r="AA31" s="69"/>
      <c r="AB31" t="s">
        <v>42</v>
      </c>
      <c r="AC31">
        <v>5.7273693105038097</v>
      </c>
      <c r="AD31">
        <v>0.91167249284813301</v>
      </c>
      <c r="AE31">
        <v>6.2942191730993402</v>
      </c>
      <c r="AF31">
        <v>0.90868826440936501</v>
      </c>
      <c r="AG31">
        <v>2.25120318264787</v>
      </c>
      <c r="AH31">
        <v>10.441242318374099</v>
      </c>
      <c r="AI31">
        <v>5.3569471452045594</v>
      </c>
      <c r="AJ31">
        <v>24.291689437645999</v>
      </c>
      <c r="AK31">
        <v>10.441242318374099</v>
      </c>
    </row>
    <row r="32" spans="1:37" x14ac:dyDescent="0.25">
      <c r="A32" s="3" t="s">
        <v>12</v>
      </c>
      <c r="B32" s="3" t="s">
        <v>13</v>
      </c>
      <c r="C32" s="4">
        <v>784</v>
      </c>
      <c r="D32" s="10">
        <v>42242</v>
      </c>
      <c r="E32" s="3" t="s">
        <v>10</v>
      </c>
      <c r="F32" s="4" t="s">
        <v>11</v>
      </c>
      <c r="G32" s="20">
        <v>3.13</v>
      </c>
      <c r="H32" s="20">
        <v>0.99</v>
      </c>
      <c r="I32" s="20">
        <v>1.1925299999999999</v>
      </c>
      <c r="J32" s="20">
        <v>0.86075000000000002</v>
      </c>
      <c r="S32" s="73" t="s">
        <v>21</v>
      </c>
      <c r="T32" s="70">
        <v>2.2549999999999999</v>
      </c>
      <c r="U32" s="71">
        <v>0.44500000000000006</v>
      </c>
      <c r="V32" s="72">
        <v>0.89249999999999996</v>
      </c>
      <c r="W32" s="69"/>
      <c r="X32" s="69"/>
      <c r="Y32" s="69"/>
      <c r="Z32" s="69"/>
      <c r="AA32" s="69"/>
      <c r="AB32" t="s">
        <v>44</v>
      </c>
      <c r="AC32">
        <v>5.1274601308188101</v>
      </c>
      <c r="AD32">
        <v>0.88178370700077402</v>
      </c>
      <c r="AE32">
        <v>5.8920583169312097</v>
      </c>
      <c r="AF32">
        <v>0.89578155423572203</v>
      </c>
      <c r="AG32">
        <v>2.6616121383218401</v>
      </c>
      <c r="AH32">
        <v>9.6199853710877896</v>
      </c>
      <c r="AI32">
        <v>3.8530935242032207</v>
      </c>
      <c r="AJ32">
        <v>36.582014723009003</v>
      </c>
      <c r="AK32">
        <v>9.6199853710877896</v>
      </c>
    </row>
    <row r="33" spans="1:37" x14ac:dyDescent="0.25">
      <c r="A33" s="3" t="s">
        <v>12</v>
      </c>
      <c r="B33" s="3" t="s">
        <v>13</v>
      </c>
      <c r="C33" s="4">
        <v>785</v>
      </c>
      <c r="D33" s="10">
        <v>42242</v>
      </c>
      <c r="E33" s="3" t="s">
        <v>10</v>
      </c>
      <c r="F33" s="4" t="s">
        <v>9</v>
      </c>
      <c r="G33" s="20">
        <v>2.2999999999999998</v>
      </c>
      <c r="H33" s="20">
        <v>0.71</v>
      </c>
      <c r="I33" s="20">
        <v>0.87399999999999989</v>
      </c>
      <c r="J33" s="20">
        <v>0.5796</v>
      </c>
      <c r="S33" s="73" t="s">
        <v>27</v>
      </c>
      <c r="T33" s="70">
        <v>3.7</v>
      </c>
      <c r="U33" s="71">
        <v>1.1850000000000001</v>
      </c>
      <c r="V33" s="72">
        <v>1.6749999999999998</v>
      </c>
      <c r="W33" s="69"/>
      <c r="X33" s="69"/>
      <c r="Y33" s="69"/>
      <c r="Z33" s="69"/>
      <c r="AA33" s="69"/>
    </row>
    <row r="34" spans="1:37" ht="16.5" thickBot="1" x14ac:dyDescent="0.3">
      <c r="A34" s="3" t="s">
        <v>12</v>
      </c>
      <c r="B34" s="3" t="s">
        <v>13</v>
      </c>
      <c r="C34" s="4">
        <v>871</v>
      </c>
      <c r="D34" s="5">
        <v>42249</v>
      </c>
      <c r="E34" s="3" t="s">
        <v>10</v>
      </c>
      <c r="F34" s="4" t="s">
        <v>8</v>
      </c>
      <c r="G34" s="20">
        <v>4.38</v>
      </c>
      <c r="H34" s="20">
        <v>1.3</v>
      </c>
      <c r="I34" s="20">
        <v>1.4804399999999998</v>
      </c>
      <c r="J34" s="20">
        <v>1.34466</v>
      </c>
      <c r="S34" s="73" t="s">
        <v>31</v>
      </c>
      <c r="T34" s="70">
        <v>4.5325000000000006</v>
      </c>
      <c r="U34" s="71">
        <v>1.345</v>
      </c>
      <c r="V34" s="72">
        <v>1.5324999999999998</v>
      </c>
      <c r="W34" s="69"/>
      <c r="X34" s="69"/>
      <c r="Y34" s="69"/>
      <c r="Z34" s="69"/>
      <c r="AA34" s="69"/>
      <c r="AB34" t="s">
        <v>100</v>
      </c>
    </row>
    <row r="35" spans="1:37" ht="16.5" thickBot="1" x14ac:dyDescent="0.3">
      <c r="A35" s="3" t="s">
        <v>12</v>
      </c>
      <c r="B35" s="3" t="s">
        <v>13</v>
      </c>
      <c r="C35" s="4">
        <v>872</v>
      </c>
      <c r="D35" s="5">
        <v>42249</v>
      </c>
      <c r="E35" s="3" t="s">
        <v>10</v>
      </c>
      <c r="F35" s="4" t="s">
        <v>11</v>
      </c>
      <c r="G35" s="20">
        <v>2.14</v>
      </c>
      <c r="H35" s="20">
        <v>0.53</v>
      </c>
      <c r="I35" s="20">
        <v>0.72545999999999999</v>
      </c>
      <c r="J35" s="20">
        <v>0.59064000000000005</v>
      </c>
      <c r="S35" s="73" t="s">
        <v>36</v>
      </c>
      <c r="T35" s="70">
        <v>3.6350000000000002</v>
      </c>
      <c r="U35" s="71">
        <v>0.93164674634794009</v>
      </c>
      <c r="V35" s="72">
        <v>1.4200000000000002</v>
      </c>
      <c r="W35" s="69"/>
      <c r="X35" s="69"/>
      <c r="Y35" s="69"/>
      <c r="Z35" s="69"/>
      <c r="AA35" s="69"/>
      <c r="AB35" s="117" t="s">
        <v>53</v>
      </c>
      <c r="AC35" s="103">
        <f>CORREL($N2:$N11,AC$23:AC$32)</f>
        <v>0.47149832079763937</v>
      </c>
      <c r="AD35" s="103">
        <f t="shared" ref="AD35:AK35" si="10">CORREL($N2:$N11,AD$23:AD$32)</f>
        <v>0.38815090622434356</v>
      </c>
      <c r="AE35" s="103">
        <f t="shared" si="10"/>
        <v>0.35997709956385099</v>
      </c>
      <c r="AF35" s="103">
        <f t="shared" si="10"/>
        <v>0.24000128080283098</v>
      </c>
      <c r="AG35" s="103">
        <f t="shared" si="10"/>
        <v>0.23860923481241036</v>
      </c>
      <c r="AH35" s="103">
        <f t="shared" si="10"/>
        <v>-9.2282438718609985E-2</v>
      </c>
      <c r="AI35" s="103">
        <f t="shared" si="10"/>
        <v>-6.438338555730759E-2</v>
      </c>
      <c r="AJ35" s="103">
        <f t="shared" si="10"/>
        <v>-0.11323420809185238</v>
      </c>
      <c r="AK35" s="103">
        <f t="shared" si="10"/>
        <v>-9.2282438718609985E-2</v>
      </c>
    </row>
    <row r="36" spans="1:37" ht="16.5" thickBot="1" x14ac:dyDescent="0.3">
      <c r="A36" s="3" t="s">
        <v>12</v>
      </c>
      <c r="B36" s="3" t="s">
        <v>13</v>
      </c>
      <c r="C36" s="4">
        <v>873</v>
      </c>
      <c r="D36" s="5">
        <v>42249</v>
      </c>
      <c r="E36" s="3" t="s">
        <v>7</v>
      </c>
      <c r="F36" s="4" t="s">
        <v>8</v>
      </c>
      <c r="G36" s="20">
        <v>4.03</v>
      </c>
      <c r="H36" s="20">
        <v>1.02</v>
      </c>
      <c r="I36" s="20">
        <v>1.6482699999999999</v>
      </c>
      <c r="J36" s="20">
        <v>1.0075000000000001</v>
      </c>
      <c r="S36" s="73" t="s">
        <v>40</v>
      </c>
      <c r="T36" s="70">
        <v>3.8899999999999997</v>
      </c>
      <c r="U36" s="71">
        <v>1.2999999999999998</v>
      </c>
      <c r="V36" s="72">
        <v>2.0499999999999998</v>
      </c>
      <c r="W36" s="69"/>
      <c r="X36" s="69"/>
      <c r="Y36" s="69"/>
      <c r="Z36" s="69"/>
      <c r="AA36" s="69"/>
      <c r="AB36" s="118" t="s">
        <v>9</v>
      </c>
      <c r="AC36" s="103">
        <f>CORREL($O2:$O11,AC$23:AC$32)</f>
        <v>0.24572390415393744</v>
      </c>
      <c r="AD36" s="103">
        <f t="shared" ref="AD36:AK36" si="11">CORREL($O2:$O11,AD$23:AD$32)</f>
        <v>0.31643645292328343</v>
      </c>
      <c r="AE36" s="103">
        <f t="shared" si="11"/>
        <v>0.36496725785941858</v>
      </c>
      <c r="AF36" s="103">
        <f t="shared" si="11"/>
        <v>5.9929715666074607E-2</v>
      </c>
      <c r="AG36" s="103">
        <f t="shared" si="11"/>
        <v>0.33259179504062902</v>
      </c>
      <c r="AH36" s="103">
        <f t="shared" si="11"/>
        <v>3.9258505609085066E-2</v>
      </c>
      <c r="AI36" s="103">
        <f t="shared" si="11"/>
        <v>-0.30279361343149275</v>
      </c>
      <c r="AJ36" s="103">
        <f t="shared" si="11"/>
        <v>0.38094102736297381</v>
      </c>
      <c r="AK36" s="103">
        <f t="shared" si="11"/>
        <v>3.9258505609085066E-2</v>
      </c>
    </row>
    <row r="37" spans="1:37" ht="16.5" thickBot="1" x14ac:dyDescent="0.3">
      <c r="A37" s="3" t="s">
        <v>12</v>
      </c>
      <c r="B37" s="3" t="s">
        <v>13</v>
      </c>
      <c r="C37" s="4">
        <v>874</v>
      </c>
      <c r="D37" s="5">
        <v>42249</v>
      </c>
      <c r="E37" s="3" t="s">
        <v>7</v>
      </c>
      <c r="F37" s="4" t="s">
        <v>11</v>
      </c>
      <c r="G37" s="20">
        <v>6.83</v>
      </c>
      <c r="H37" s="20">
        <v>1.8</v>
      </c>
      <c r="I37" s="20">
        <v>3.0939899999999998</v>
      </c>
      <c r="J37" s="20">
        <v>1.5230900000000001</v>
      </c>
      <c r="S37" s="73" t="s">
        <v>42</v>
      </c>
      <c r="T37" s="70">
        <v>2.6924999999999999</v>
      </c>
      <c r="U37" s="71">
        <v>0.9049999999999998</v>
      </c>
      <c r="V37" s="72">
        <v>0.98250000000000015</v>
      </c>
      <c r="W37" s="69"/>
      <c r="X37" s="69"/>
      <c r="Y37" s="69"/>
      <c r="Z37" s="69"/>
      <c r="AA37" s="69"/>
      <c r="AB37" s="118" t="s">
        <v>54</v>
      </c>
      <c r="AC37" s="103">
        <f>CORREL($P2:$P11,AC$23:AC$32)</f>
        <v>0.63170875644951385</v>
      </c>
      <c r="AD37" s="103">
        <f t="shared" ref="AD37:AK37" si="12">CORREL($P2:$P11,AD$23:AD$32)</f>
        <v>0.35099866026978377</v>
      </c>
      <c r="AE37" s="103">
        <f t="shared" si="12"/>
        <v>0.24319626135983968</v>
      </c>
      <c r="AF37" s="103">
        <f t="shared" si="12"/>
        <v>0.38228514485003245</v>
      </c>
      <c r="AG37" s="103">
        <f t="shared" si="12"/>
        <v>0.60363948062396233</v>
      </c>
      <c r="AH37" s="103">
        <f t="shared" si="12"/>
        <v>-0.18642815206031915</v>
      </c>
      <c r="AI37" s="103">
        <f t="shared" si="12"/>
        <v>-0.23873118145064628</v>
      </c>
      <c r="AJ37" s="103">
        <f t="shared" si="12"/>
        <v>0.17230297207995282</v>
      </c>
      <c r="AK37" s="103">
        <f t="shared" si="12"/>
        <v>-0.18642815206031915</v>
      </c>
    </row>
    <row r="38" spans="1:37" ht="16.5" thickBot="1" x14ac:dyDescent="0.3">
      <c r="A38" s="3" t="s">
        <v>12</v>
      </c>
      <c r="B38" s="3" t="s">
        <v>13</v>
      </c>
      <c r="C38" s="4">
        <v>875</v>
      </c>
      <c r="D38" s="5">
        <v>42249</v>
      </c>
      <c r="E38" s="3" t="s">
        <v>7</v>
      </c>
      <c r="F38" s="4" t="s">
        <v>9</v>
      </c>
      <c r="G38" s="20">
        <v>3.64</v>
      </c>
      <c r="H38" s="20">
        <v>1.36</v>
      </c>
      <c r="I38" s="20">
        <v>1.274</v>
      </c>
      <c r="J38" s="20">
        <v>0.83720000000000006</v>
      </c>
      <c r="S38" s="74" t="s">
        <v>44</v>
      </c>
      <c r="T38" s="75">
        <v>3.5700000000000003</v>
      </c>
      <c r="U38" s="76">
        <v>1.4240000000000002</v>
      </c>
      <c r="V38" s="77">
        <v>1.534</v>
      </c>
      <c r="W38" s="69"/>
      <c r="X38" s="69"/>
      <c r="Y38" s="69"/>
      <c r="Z38" s="69"/>
      <c r="AA38" s="69"/>
      <c r="AB38" s="118" t="s">
        <v>55</v>
      </c>
      <c r="AC38" s="103">
        <f>CORREL($Q2:$Q11,AC$23:AC$32)</f>
        <v>0.10349767978195401</v>
      </c>
      <c r="AD38" s="103">
        <f t="shared" ref="AD38:AK38" si="13">CORREL($Q2:$Q11,AD$23:AD$32)</f>
        <v>0.14914189523810739</v>
      </c>
      <c r="AE38" s="103">
        <f t="shared" si="13"/>
        <v>0.24917738156875066</v>
      </c>
      <c r="AF38" s="103">
        <f t="shared" si="13"/>
        <v>-9.5284073504494915E-2</v>
      </c>
      <c r="AG38" s="103">
        <f t="shared" si="13"/>
        <v>0.39892900974255341</v>
      </c>
      <c r="AH38" s="103">
        <f t="shared" si="13"/>
        <v>-4.5829939270726157E-2</v>
      </c>
      <c r="AI38" s="103">
        <f t="shared" si="13"/>
        <v>-0.47203133450545681</v>
      </c>
      <c r="AJ38" s="103">
        <f t="shared" si="13"/>
        <v>0.59216286546697572</v>
      </c>
      <c r="AK38" s="103">
        <f t="shared" si="13"/>
        <v>-4.5829939270726157E-2</v>
      </c>
    </row>
    <row r="39" spans="1:37" ht="16.5" thickBot="1" x14ac:dyDescent="0.3">
      <c r="A39" s="3" t="s">
        <v>12</v>
      </c>
      <c r="B39" s="3" t="s">
        <v>13</v>
      </c>
      <c r="C39" s="4">
        <v>876</v>
      </c>
      <c r="D39" s="5">
        <v>42249</v>
      </c>
      <c r="E39" s="3" t="s">
        <v>10</v>
      </c>
      <c r="F39" s="4" t="s">
        <v>8</v>
      </c>
      <c r="G39" s="20">
        <v>4.3499999999999996</v>
      </c>
      <c r="H39" s="20">
        <v>1.87</v>
      </c>
      <c r="I39" s="20">
        <v>1.2788999999999999</v>
      </c>
      <c r="J39" s="20">
        <v>1.3049999999999999</v>
      </c>
      <c r="X39" s="69"/>
      <c r="Y39" s="69"/>
      <c r="Z39" s="69"/>
      <c r="AA39" s="69"/>
      <c r="AB39" s="117" t="s">
        <v>53</v>
      </c>
      <c r="AC39" s="103">
        <f>CORREL($N14:$N23,AC$23:AC$32)</f>
        <v>-0.19322438158037297</v>
      </c>
      <c r="AD39" s="103">
        <f t="shared" ref="AD39:AK39" si="14">CORREL($N14:$N23,AD$23:AD$32)</f>
        <v>0.4169090859873445</v>
      </c>
      <c r="AE39" s="103">
        <f t="shared" si="14"/>
        <v>0.47460480129917831</v>
      </c>
      <c r="AF39" s="103">
        <f t="shared" si="14"/>
        <v>0.4122553121531557</v>
      </c>
      <c r="AG39" s="103">
        <f t="shared" si="14"/>
        <v>-0.24951892682782667</v>
      </c>
      <c r="AH39" s="103">
        <f t="shared" si="14"/>
        <v>0.45365683760956216</v>
      </c>
      <c r="AI39" s="103">
        <f t="shared" si="14"/>
        <v>0.41126756463937486</v>
      </c>
      <c r="AJ39" s="103">
        <f t="shared" si="14"/>
        <v>-0.5088329926637315</v>
      </c>
      <c r="AK39" s="103">
        <f t="shared" si="14"/>
        <v>0.45365683760956216</v>
      </c>
    </row>
    <row r="40" spans="1:37" ht="16.5" thickBot="1" x14ac:dyDescent="0.3">
      <c r="A40" s="3" t="s">
        <v>12</v>
      </c>
      <c r="B40" s="3" t="s">
        <v>13</v>
      </c>
      <c r="C40" s="4">
        <v>877</v>
      </c>
      <c r="D40" s="5">
        <v>42249</v>
      </c>
      <c r="E40" s="3" t="s">
        <v>10</v>
      </c>
      <c r="F40" s="4" t="s">
        <v>11</v>
      </c>
      <c r="G40" s="20">
        <v>5.0599999999999996</v>
      </c>
      <c r="H40" s="20">
        <v>0.79</v>
      </c>
      <c r="I40" s="20">
        <v>1.8721999999999999</v>
      </c>
      <c r="J40" s="20">
        <v>1.60402</v>
      </c>
      <c r="AB40" s="118" t="s">
        <v>9</v>
      </c>
      <c r="AC40" s="103">
        <f>CORREL($O14:$O23,AC$23:AC$32)</f>
        <v>-0.3639930581937767</v>
      </c>
      <c r="AD40" s="103">
        <f t="shared" ref="AD40:AK40" si="15">CORREL($O14:$O23,AD$23:AD$32)</f>
        <v>0.29508834978180426</v>
      </c>
      <c r="AE40" s="103">
        <f t="shared" si="15"/>
        <v>0.5066901939277646</v>
      </c>
      <c r="AF40" s="103">
        <f t="shared" si="15"/>
        <v>0.17970900637458548</v>
      </c>
      <c r="AG40" s="103">
        <f t="shared" si="15"/>
        <v>-0.29692412264750212</v>
      </c>
      <c r="AH40" s="103">
        <f t="shared" si="15"/>
        <v>0.32334627299468643</v>
      </c>
      <c r="AI40" s="103">
        <f t="shared" si="15"/>
        <v>0.18357383426419105</v>
      </c>
      <c r="AJ40" s="103">
        <f t="shared" si="15"/>
        <v>-0.29328516985213549</v>
      </c>
      <c r="AK40" s="103">
        <f t="shared" si="15"/>
        <v>0.32334627299468643</v>
      </c>
    </row>
    <row r="41" spans="1:37" ht="16.5" thickBot="1" x14ac:dyDescent="0.3">
      <c r="A41" s="3" t="s">
        <v>12</v>
      </c>
      <c r="B41" s="3" t="s">
        <v>13</v>
      </c>
      <c r="C41" s="4">
        <v>879</v>
      </c>
      <c r="D41" s="5">
        <v>42276</v>
      </c>
      <c r="E41" s="3" t="s">
        <v>7</v>
      </c>
      <c r="F41" s="4" t="s">
        <v>11</v>
      </c>
      <c r="G41" s="23">
        <v>3.7</v>
      </c>
      <c r="H41" s="23">
        <v>0.55000000000000004</v>
      </c>
      <c r="I41" s="20">
        <v>1.1692</v>
      </c>
      <c r="J41" s="20">
        <v>0.6179</v>
      </c>
      <c r="AB41" s="118" t="s">
        <v>54</v>
      </c>
      <c r="AC41" s="103">
        <f>CORREL($P14:$P23,AC$23:AC$32)</f>
        <v>0.4555047867349441</v>
      </c>
      <c r="AD41" s="103">
        <f t="shared" ref="AD41:AK41" si="16">CORREL($P14:$P23,AD$23:AD$32)</f>
        <v>0.40591798882060381</v>
      </c>
      <c r="AE41" s="103">
        <f>CORREL($P14:$P23,AE$23:AE$32)</f>
        <v>0.61159079449895826</v>
      </c>
      <c r="AF41" s="103">
        <f t="shared" si="16"/>
        <v>4.3363856480670475E-2</v>
      </c>
      <c r="AG41" s="103">
        <f t="shared" si="16"/>
        <v>0.50520958674448346</v>
      </c>
      <c r="AH41" s="103">
        <f t="shared" si="16"/>
        <v>-0.3395147605293084</v>
      </c>
      <c r="AI41" s="103">
        <f t="shared" si="16"/>
        <v>-0.46885264988377029</v>
      </c>
      <c r="AJ41" s="103">
        <f t="shared" si="16"/>
        <v>-4.2436933396705533E-2</v>
      </c>
      <c r="AK41" s="103">
        <f t="shared" si="16"/>
        <v>-0.3395147605293084</v>
      </c>
    </row>
    <row r="42" spans="1:37" x14ac:dyDescent="0.25">
      <c r="A42" s="3" t="s">
        <v>12</v>
      </c>
      <c r="B42" s="3" t="s">
        <v>13</v>
      </c>
      <c r="C42" s="4">
        <v>880</v>
      </c>
      <c r="D42" s="5">
        <v>42304</v>
      </c>
      <c r="E42" s="3" t="s">
        <v>10</v>
      </c>
      <c r="F42" s="4" t="s">
        <v>8</v>
      </c>
      <c r="G42" s="23">
        <v>3.05</v>
      </c>
      <c r="H42" s="23">
        <v>0.37</v>
      </c>
      <c r="I42" s="20">
        <v>0.96379999999999999</v>
      </c>
      <c r="J42" s="20">
        <v>1.1346000000000001</v>
      </c>
      <c r="AB42" s="118" t="s">
        <v>55</v>
      </c>
      <c r="AC42" s="103">
        <f>CORREL($Q14:$Q23,AC$23:AC$32)</f>
        <v>1.5166544476033302E-2</v>
      </c>
      <c r="AD42" s="103">
        <f t="shared" ref="AD42:AK42" si="17">CORREL($Q14:$Q23,AD$23:AD$32)</f>
        <v>4.8538276517591364E-2</v>
      </c>
      <c r="AE42" s="103">
        <f t="shared" si="17"/>
        <v>0.11512871409312776</v>
      </c>
      <c r="AF42" s="103">
        <f t="shared" si="17"/>
        <v>-0.12460460813725595</v>
      </c>
      <c r="AG42" s="103">
        <f t="shared" si="17"/>
        <v>0.1393421003708285</v>
      </c>
      <c r="AH42" s="103">
        <f t="shared" si="17"/>
        <v>-0.37364205882713425</v>
      </c>
      <c r="AI42" s="103">
        <f t="shared" si="17"/>
        <v>-0.41036256001366678</v>
      </c>
      <c r="AJ42" s="103">
        <f t="shared" si="17"/>
        <v>0.28151889742376907</v>
      </c>
      <c r="AK42" s="103">
        <f t="shared" si="17"/>
        <v>-0.37364205882713425</v>
      </c>
    </row>
    <row r="43" spans="1:37" x14ac:dyDescent="0.25">
      <c r="A43" s="3" t="s">
        <v>12</v>
      </c>
      <c r="B43" s="3" t="s">
        <v>13</v>
      </c>
      <c r="C43" s="4">
        <v>881</v>
      </c>
      <c r="D43" s="5">
        <v>42304</v>
      </c>
      <c r="E43" s="3" t="s">
        <v>10</v>
      </c>
      <c r="F43" s="4" t="s">
        <v>11</v>
      </c>
      <c r="G43" s="23">
        <v>2.93</v>
      </c>
      <c r="H43" s="23">
        <v>0.24</v>
      </c>
      <c r="I43" s="20">
        <v>0.98741000000000012</v>
      </c>
      <c r="J43" s="20">
        <v>1.0577300000000001</v>
      </c>
    </row>
    <row r="44" spans="1:37" x14ac:dyDescent="0.25">
      <c r="A44" s="3" t="s">
        <v>12</v>
      </c>
      <c r="B44" s="3" t="s">
        <v>13</v>
      </c>
      <c r="C44" s="4">
        <v>882</v>
      </c>
      <c r="D44" s="5">
        <v>42304</v>
      </c>
      <c r="E44" s="3" t="s">
        <v>10</v>
      </c>
      <c r="F44" s="4" t="s">
        <v>11</v>
      </c>
      <c r="G44" s="23">
        <v>3.13</v>
      </c>
      <c r="H44" s="23">
        <v>0.14000000000000001</v>
      </c>
      <c r="I44" s="20">
        <v>0.93586999999999998</v>
      </c>
      <c r="J44" s="20">
        <v>1.2394799999999999</v>
      </c>
      <c r="AA44"/>
    </row>
    <row r="45" spans="1:37" x14ac:dyDescent="0.25">
      <c r="A45" s="3" t="s">
        <v>12</v>
      </c>
      <c r="B45" s="3" t="s">
        <v>13</v>
      </c>
      <c r="C45" s="4">
        <v>900</v>
      </c>
      <c r="D45" s="5">
        <v>42318</v>
      </c>
      <c r="E45" s="3" t="s">
        <v>10</v>
      </c>
      <c r="F45" s="4" t="s">
        <v>8</v>
      </c>
      <c r="G45" s="23">
        <v>3.99</v>
      </c>
      <c r="H45" s="23">
        <v>0.1</v>
      </c>
      <c r="I45" s="20">
        <v>1.3845300000000003</v>
      </c>
      <c r="J45" s="20">
        <v>1.4922600000000001</v>
      </c>
      <c r="AA45"/>
    </row>
    <row r="46" spans="1:37" x14ac:dyDescent="0.25">
      <c r="A46" s="3" t="s">
        <v>12</v>
      </c>
      <c r="B46" s="3" t="s">
        <v>13</v>
      </c>
      <c r="C46" s="4">
        <v>901</v>
      </c>
      <c r="D46" s="5">
        <v>42318</v>
      </c>
      <c r="E46" s="3" t="s">
        <v>10</v>
      </c>
      <c r="F46" s="4" t="s">
        <v>8</v>
      </c>
      <c r="G46" s="20">
        <v>5.32</v>
      </c>
      <c r="H46" s="20">
        <v>0.2</v>
      </c>
      <c r="I46" s="20">
        <v>1.90456</v>
      </c>
      <c r="J46" s="20">
        <v>1.6651600000000002</v>
      </c>
      <c r="AA46"/>
    </row>
    <row r="47" spans="1:37" x14ac:dyDescent="0.25">
      <c r="A47" s="3" t="s">
        <v>12</v>
      </c>
      <c r="B47" s="3" t="s">
        <v>13</v>
      </c>
      <c r="C47" s="4">
        <v>902</v>
      </c>
      <c r="D47" s="5">
        <v>42318</v>
      </c>
      <c r="E47" s="3" t="s">
        <v>10</v>
      </c>
      <c r="F47" s="4" t="s">
        <v>11</v>
      </c>
      <c r="G47" s="20">
        <v>2.59</v>
      </c>
      <c r="H47" s="20">
        <v>0.17</v>
      </c>
      <c r="I47" s="20">
        <v>1.07744</v>
      </c>
      <c r="J47" s="20">
        <v>0.58274999999999999</v>
      </c>
    </row>
    <row r="48" spans="1:37" x14ac:dyDescent="0.25">
      <c r="A48" s="3" t="s">
        <v>12</v>
      </c>
      <c r="B48" s="3" t="s">
        <v>13</v>
      </c>
      <c r="C48" s="4">
        <v>903</v>
      </c>
      <c r="D48" s="5">
        <v>42318</v>
      </c>
      <c r="E48" s="3" t="s">
        <v>10</v>
      </c>
      <c r="F48" s="4" t="s">
        <v>11</v>
      </c>
      <c r="G48" s="20">
        <v>3.43</v>
      </c>
      <c r="H48" s="20">
        <v>0.17</v>
      </c>
      <c r="I48" s="20">
        <v>1.2862500000000001</v>
      </c>
      <c r="J48" s="20">
        <v>1.03586</v>
      </c>
    </row>
    <row r="49" spans="1:10" x14ac:dyDescent="0.25">
      <c r="A49" s="3" t="s">
        <v>14</v>
      </c>
      <c r="B49" s="3" t="s">
        <v>15</v>
      </c>
      <c r="C49" s="4">
        <v>189</v>
      </c>
      <c r="D49" s="5">
        <v>42123</v>
      </c>
      <c r="E49" s="3" t="s">
        <v>10</v>
      </c>
      <c r="F49" s="4" t="s">
        <v>8</v>
      </c>
      <c r="G49" s="20">
        <v>7.04</v>
      </c>
      <c r="H49" s="20">
        <v>0.17</v>
      </c>
      <c r="I49" s="20">
        <v>2.8723199999999998</v>
      </c>
      <c r="J49" s="20">
        <v>1.49952</v>
      </c>
    </row>
    <row r="50" spans="1:10" x14ac:dyDescent="0.25">
      <c r="A50" s="3" t="s">
        <v>14</v>
      </c>
      <c r="B50" s="3" t="s">
        <v>15</v>
      </c>
      <c r="C50" s="4">
        <v>190</v>
      </c>
      <c r="D50" s="5">
        <v>42123</v>
      </c>
      <c r="E50" s="3" t="s">
        <v>7</v>
      </c>
      <c r="F50" s="4" t="s">
        <v>9</v>
      </c>
      <c r="G50" s="20">
        <v>3.37</v>
      </c>
      <c r="H50" s="20">
        <v>0.14000000000000001</v>
      </c>
      <c r="I50" s="20">
        <v>1.1795</v>
      </c>
      <c r="J50" s="20">
        <v>0.65041000000000004</v>
      </c>
    </row>
    <row r="51" spans="1:10" x14ac:dyDescent="0.25">
      <c r="A51" s="3" t="s">
        <v>14</v>
      </c>
      <c r="B51" s="3" t="s">
        <v>15</v>
      </c>
      <c r="C51" s="4">
        <v>271</v>
      </c>
      <c r="D51" s="5">
        <v>42151</v>
      </c>
      <c r="E51" s="3" t="s">
        <v>7</v>
      </c>
      <c r="F51" s="4" t="s">
        <v>8</v>
      </c>
      <c r="G51" s="20">
        <v>6.91</v>
      </c>
      <c r="H51" s="20">
        <v>0.4</v>
      </c>
      <c r="I51" s="20">
        <v>2.93675</v>
      </c>
      <c r="J51" s="20">
        <v>1.4303699999999999</v>
      </c>
    </row>
    <row r="52" spans="1:10" x14ac:dyDescent="0.25">
      <c r="A52" s="3" t="s">
        <v>14</v>
      </c>
      <c r="B52" s="3" t="s">
        <v>15</v>
      </c>
      <c r="C52" s="4">
        <v>272</v>
      </c>
      <c r="D52" s="5">
        <v>42151</v>
      </c>
      <c r="E52" s="3" t="s">
        <v>7</v>
      </c>
      <c r="F52" s="4" t="s">
        <v>9</v>
      </c>
      <c r="G52" s="20">
        <v>4.1500000000000004</v>
      </c>
      <c r="H52" s="20">
        <v>0.65</v>
      </c>
      <c r="I52" s="20">
        <v>1.6807500000000002</v>
      </c>
      <c r="J52" s="20">
        <v>0.93790000000000007</v>
      </c>
    </row>
    <row r="53" spans="1:10" x14ac:dyDescent="0.25">
      <c r="A53" s="3" t="s">
        <v>14</v>
      </c>
      <c r="B53" s="3" t="s">
        <v>15</v>
      </c>
      <c r="C53" s="4">
        <v>397</v>
      </c>
      <c r="D53" s="5">
        <v>42163</v>
      </c>
      <c r="E53" s="3" t="s">
        <v>10</v>
      </c>
      <c r="F53" s="4" t="s">
        <v>9</v>
      </c>
      <c r="G53" s="20">
        <v>1.47</v>
      </c>
      <c r="H53" s="20">
        <v>0.28000000000000003</v>
      </c>
      <c r="I53" s="20">
        <v>0.56742000000000004</v>
      </c>
      <c r="J53" s="20">
        <v>0.27194999999999997</v>
      </c>
    </row>
    <row r="54" spans="1:10" x14ac:dyDescent="0.25">
      <c r="A54" s="3" t="s">
        <v>14</v>
      </c>
      <c r="B54" s="3" t="s">
        <v>15</v>
      </c>
      <c r="C54" s="4">
        <v>398</v>
      </c>
      <c r="D54" s="5">
        <v>42163</v>
      </c>
      <c r="E54" s="3" t="s">
        <v>7</v>
      </c>
      <c r="F54" s="4" t="s">
        <v>8</v>
      </c>
      <c r="G54" s="20">
        <v>7.32</v>
      </c>
      <c r="H54" s="20">
        <v>1.1599999999999999</v>
      </c>
      <c r="I54" s="20">
        <v>2.9792400000000003</v>
      </c>
      <c r="J54" s="20">
        <v>2.0203200000000003</v>
      </c>
    </row>
    <row r="55" spans="1:10" x14ac:dyDescent="0.25">
      <c r="A55" s="3" t="s">
        <v>14</v>
      </c>
      <c r="B55" s="3" t="s">
        <v>15</v>
      </c>
      <c r="C55" s="4">
        <v>399</v>
      </c>
      <c r="D55" s="5">
        <v>42163</v>
      </c>
      <c r="E55" s="3" t="s">
        <v>7</v>
      </c>
      <c r="F55" s="4" t="s">
        <v>9</v>
      </c>
      <c r="G55" s="20">
        <v>2.69</v>
      </c>
      <c r="H55" s="20">
        <v>0.52</v>
      </c>
      <c r="I55" s="20">
        <v>1.0248900000000001</v>
      </c>
      <c r="J55" s="20">
        <v>0.52454999999999996</v>
      </c>
    </row>
    <row r="56" spans="1:10" x14ac:dyDescent="0.25">
      <c r="A56" s="3" t="s">
        <v>14</v>
      </c>
      <c r="B56" s="3" t="s">
        <v>15</v>
      </c>
      <c r="C56" s="4">
        <v>406</v>
      </c>
      <c r="D56" s="13"/>
      <c r="E56" s="3" t="s">
        <v>10</v>
      </c>
      <c r="F56" s="4" t="s">
        <v>8</v>
      </c>
      <c r="G56" s="20">
        <v>6.12</v>
      </c>
      <c r="H56" s="20">
        <v>0.87</v>
      </c>
      <c r="I56" s="20">
        <v>2.2338</v>
      </c>
      <c r="J56" s="20">
        <v>1.2178799999999999</v>
      </c>
    </row>
    <row r="57" spans="1:10" x14ac:dyDescent="0.25">
      <c r="A57" s="3" t="s">
        <v>14</v>
      </c>
      <c r="B57" s="3" t="s">
        <v>15</v>
      </c>
      <c r="C57" s="4">
        <v>407</v>
      </c>
      <c r="D57" s="13"/>
      <c r="E57" s="3" t="s">
        <v>10</v>
      </c>
      <c r="F57" s="4" t="s">
        <v>9</v>
      </c>
      <c r="G57" s="20">
        <v>2.15</v>
      </c>
      <c r="H57" s="20">
        <v>0.13</v>
      </c>
      <c r="I57" s="20">
        <v>0.87934999999999985</v>
      </c>
      <c r="J57" s="20">
        <v>0.45365000000000005</v>
      </c>
    </row>
    <row r="58" spans="1:10" x14ac:dyDescent="0.25">
      <c r="A58" s="3" t="s">
        <v>16</v>
      </c>
      <c r="B58" s="3" t="s">
        <v>17</v>
      </c>
      <c r="C58" s="4">
        <v>216</v>
      </c>
      <c r="D58" s="5">
        <v>42132</v>
      </c>
      <c r="E58" s="3" t="s">
        <v>7</v>
      </c>
      <c r="F58" s="4" t="s">
        <v>8</v>
      </c>
      <c r="G58" s="20">
        <v>7.23</v>
      </c>
      <c r="H58" s="20">
        <v>1.89</v>
      </c>
      <c r="I58" s="20">
        <v>2.7112500000000002</v>
      </c>
      <c r="J58" s="20">
        <v>2.0605500000000001</v>
      </c>
    </row>
    <row r="59" spans="1:10" x14ac:dyDescent="0.25">
      <c r="A59" s="3" t="s">
        <v>16</v>
      </c>
      <c r="B59" s="3" t="s">
        <v>17</v>
      </c>
      <c r="C59" s="4">
        <v>217</v>
      </c>
      <c r="D59" s="5">
        <v>42132</v>
      </c>
      <c r="E59" s="3" t="s">
        <v>7</v>
      </c>
      <c r="F59" s="4" t="s">
        <v>9</v>
      </c>
      <c r="G59" s="20">
        <v>2.54</v>
      </c>
      <c r="H59" s="20">
        <v>1.31</v>
      </c>
      <c r="I59" s="20">
        <v>0.47498000000000001</v>
      </c>
      <c r="J59" s="20">
        <v>0.77469999999999994</v>
      </c>
    </row>
    <row r="60" spans="1:10" x14ac:dyDescent="0.25">
      <c r="A60" s="3" t="s">
        <v>16</v>
      </c>
      <c r="B60" s="3" t="s">
        <v>17</v>
      </c>
      <c r="C60" s="4">
        <v>218</v>
      </c>
      <c r="D60" s="5">
        <v>42132</v>
      </c>
      <c r="E60" s="3" t="s">
        <v>7</v>
      </c>
      <c r="F60" s="4" t="s">
        <v>9</v>
      </c>
      <c r="G60" s="20">
        <v>2.69</v>
      </c>
      <c r="H60" s="20">
        <v>1.75</v>
      </c>
      <c r="I60" s="20">
        <v>0.48150999999999999</v>
      </c>
      <c r="J60" s="20">
        <v>0.74782000000000004</v>
      </c>
    </row>
    <row r="61" spans="1:10" x14ac:dyDescent="0.25">
      <c r="A61" s="3" t="s">
        <v>16</v>
      </c>
      <c r="B61" s="3" t="s">
        <v>17</v>
      </c>
      <c r="C61" s="4">
        <v>219</v>
      </c>
      <c r="D61" s="5">
        <v>42132</v>
      </c>
      <c r="E61" s="3" t="s">
        <v>10</v>
      </c>
      <c r="F61" s="4" t="s">
        <v>8</v>
      </c>
      <c r="G61" s="20">
        <v>6.03</v>
      </c>
      <c r="H61" s="20">
        <v>5.44</v>
      </c>
      <c r="I61" s="20">
        <v>1.2301199999999999</v>
      </c>
      <c r="J61" s="20">
        <v>1.5678000000000001</v>
      </c>
    </row>
    <row r="62" spans="1:10" x14ac:dyDescent="0.25">
      <c r="A62" s="3" t="s">
        <v>16</v>
      </c>
      <c r="B62" s="3" t="s">
        <v>17</v>
      </c>
      <c r="C62" s="4">
        <v>220</v>
      </c>
      <c r="D62" s="5">
        <v>42132</v>
      </c>
      <c r="E62" s="3" t="s">
        <v>10</v>
      </c>
      <c r="F62" s="4" t="s">
        <v>11</v>
      </c>
      <c r="G62" s="20">
        <v>5.87</v>
      </c>
      <c r="H62" s="20">
        <v>1.61</v>
      </c>
      <c r="I62" s="20">
        <v>2.2247300000000001</v>
      </c>
      <c r="J62" s="20">
        <v>1.8901400000000002</v>
      </c>
    </row>
    <row r="63" spans="1:10" x14ac:dyDescent="0.25">
      <c r="A63" s="3" t="s">
        <v>16</v>
      </c>
      <c r="B63" s="3" t="s">
        <v>17</v>
      </c>
      <c r="C63" s="4">
        <v>221</v>
      </c>
      <c r="D63" s="5">
        <v>42132</v>
      </c>
      <c r="E63" s="3" t="s">
        <v>10</v>
      </c>
      <c r="F63" s="4" t="s">
        <v>11</v>
      </c>
      <c r="G63" s="20">
        <v>4.78</v>
      </c>
      <c r="H63" s="20">
        <v>2.93</v>
      </c>
      <c r="I63" s="20">
        <v>1.2284600000000001</v>
      </c>
      <c r="J63" s="20">
        <v>1.2714800000000002</v>
      </c>
    </row>
    <row r="64" spans="1:10" x14ac:dyDescent="0.25">
      <c r="A64" s="3" t="s">
        <v>16</v>
      </c>
      <c r="B64" s="3" t="s">
        <v>17</v>
      </c>
      <c r="C64" s="4">
        <v>222</v>
      </c>
      <c r="D64" s="5">
        <v>42132</v>
      </c>
      <c r="E64" s="3" t="s">
        <v>10</v>
      </c>
      <c r="F64" s="4" t="s">
        <v>9</v>
      </c>
      <c r="G64" s="20">
        <v>1.08</v>
      </c>
      <c r="H64" s="20">
        <v>0.76</v>
      </c>
      <c r="I64" s="20">
        <v>0.11988000000000001</v>
      </c>
      <c r="J64" s="20">
        <v>0.42012000000000005</v>
      </c>
    </row>
    <row r="65" spans="1:10" x14ac:dyDescent="0.25">
      <c r="A65" s="3" t="s">
        <v>16</v>
      </c>
      <c r="B65" s="3" t="s">
        <v>17</v>
      </c>
      <c r="C65" s="4">
        <v>223</v>
      </c>
      <c r="D65" s="5">
        <v>42132</v>
      </c>
      <c r="E65" s="3" t="s">
        <v>10</v>
      </c>
      <c r="F65" s="4" t="s">
        <v>9</v>
      </c>
      <c r="G65" s="20">
        <v>1.41</v>
      </c>
      <c r="H65" s="20">
        <v>0.55000000000000004</v>
      </c>
      <c r="I65" s="20">
        <v>0.33981</v>
      </c>
      <c r="J65" s="20">
        <v>0.47234999999999999</v>
      </c>
    </row>
    <row r="66" spans="1:10" x14ac:dyDescent="0.25">
      <c r="A66" s="3" t="s">
        <v>16</v>
      </c>
      <c r="B66" s="3" t="s">
        <v>17</v>
      </c>
      <c r="C66" s="4">
        <v>290</v>
      </c>
      <c r="D66" s="5">
        <v>42157</v>
      </c>
      <c r="E66" s="3" t="s">
        <v>7</v>
      </c>
      <c r="F66" s="4" t="s">
        <v>8</v>
      </c>
      <c r="G66" s="20">
        <v>6.93</v>
      </c>
      <c r="H66" s="20">
        <v>1.47</v>
      </c>
      <c r="I66" s="20">
        <v>2.0166300000000001</v>
      </c>
      <c r="J66" s="20">
        <v>2.4601499999999996</v>
      </c>
    </row>
    <row r="67" spans="1:10" x14ac:dyDescent="0.25">
      <c r="A67" s="3" t="s">
        <v>16</v>
      </c>
      <c r="B67" s="3" t="s">
        <v>17</v>
      </c>
      <c r="C67" s="4">
        <v>291</v>
      </c>
      <c r="D67" s="5">
        <v>42157</v>
      </c>
      <c r="E67" s="3" t="s">
        <v>10</v>
      </c>
      <c r="F67" s="4" t="s">
        <v>11</v>
      </c>
      <c r="G67" s="20">
        <v>8.23</v>
      </c>
      <c r="H67" s="20">
        <v>2.25</v>
      </c>
      <c r="I67" s="20">
        <v>3.4483700000000002</v>
      </c>
      <c r="J67" s="20">
        <v>2.8722699999999999</v>
      </c>
    </row>
    <row r="68" spans="1:10" x14ac:dyDescent="0.25">
      <c r="A68" s="3" t="s">
        <v>16</v>
      </c>
      <c r="B68" s="3" t="s">
        <v>17</v>
      </c>
      <c r="C68" s="4">
        <v>292</v>
      </c>
      <c r="D68" s="5">
        <v>42157</v>
      </c>
      <c r="E68" s="3" t="s">
        <v>7</v>
      </c>
      <c r="F68" s="4" t="s">
        <v>9</v>
      </c>
      <c r="G68" s="20">
        <v>2.59</v>
      </c>
      <c r="H68" s="20">
        <v>0.99</v>
      </c>
      <c r="I68" s="20">
        <v>0.34965000000000002</v>
      </c>
      <c r="J68" s="20">
        <v>0.85987999999999998</v>
      </c>
    </row>
    <row r="69" spans="1:10" x14ac:dyDescent="0.25">
      <c r="A69" s="3" t="s">
        <v>16</v>
      </c>
      <c r="B69" s="3" t="s">
        <v>17</v>
      </c>
      <c r="C69" s="4">
        <v>293</v>
      </c>
      <c r="D69" s="5">
        <v>42157</v>
      </c>
      <c r="E69" s="3" t="s">
        <v>10</v>
      </c>
      <c r="F69" s="4" t="s">
        <v>11</v>
      </c>
      <c r="G69" s="20">
        <v>6.14</v>
      </c>
      <c r="H69" s="20">
        <v>1.57</v>
      </c>
      <c r="I69" s="20">
        <v>2.5910800000000003</v>
      </c>
      <c r="J69" s="20">
        <v>2.0261999999999998</v>
      </c>
    </row>
    <row r="70" spans="1:10" x14ac:dyDescent="0.25">
      <c r="A70" s="3" t="s">
        <v>16</v>
      </c>
      <c r="B70" s="3" t="s">
        <v>17</v>
      </c>
      <c r="C70" s="4">
        <v>294</v>
      </c>
      <c r="D70" s="5">
        <v>42157</v>
      </c>
      <c r="E70" s="3" t="s">
        <v>10</v>
      </c>
      <c r="F70" s="4" t="s">
        <v>8</v>
      </c>
      <c r="G70" s="20">
        <v>3.68</v>
      </c>
      <c r="H70" s="20">
        <v>1.27</v>
      </c>
      <c r="I70" s="20">
        <v>0.87216000000000005</v>
      </c>
      <c r="J70" s="20">
        <v>1.3505600000000002</v>
      </c>
    </row>
    <row r="71" spans="1:10" x14ac:dyDescent="0.25">
      <c r="A71" s="3" t="s">
        <v>16</v>
      </c>
      <c r="B71" s="3" t="s">
        <v>17</v>
      </c>
      <c r="C71" s="4">
        <v>401</v>
      </c>
      <c r="D71" s="5">
        <v>42045</v>
      </c>
      <c r="E71" s="8" t="s">
        <v>10</v>
      </c>
      <c r="F71" s="4" t="s">
        <v>9</v>
      </c>
      <c r="G71" s="20">
        <v>1.78</v>
      </c>
      <c r="H71" s="20">
        <v>0.38</v>
      </c>
      <c r="I71" s="20">
        <v>0.22428000000000001</v>
      </c>
      <c r="J71" s="20">
        <v>0.61588000000000009</v>
      </c>
    </row>
    <row r="72" spans="1:10" x14ac:dyDescent="0.25">
      <c r="A72" s="3" t="s">
        <v>16</v>
      </c>
      <c r="B72" s="3" t="s">
        <v>17</v>
      </c>
      <c r="C72" s="4">
        <v>402</v>
      </c>
      <c r="D72" s="5">
        <v>42045</v>
      </c>
      <c r="E72" s="8" t="s">
        <v>10</v>
      </c>
      <c r="F72" s="4" t="s">
        <v>9</v>
      </c>
      <c r="G72" s="20">
        <v>1.3</v>
      </c>
      <c r="H72" s="20">
        <v>0.37</v>
      </c>
      <c r="I72" s="20">
        <v>0.21190000000000001</v>
      </c>
      <c r="J72" s="20">
        <v>0.36530000000000007</v>
      </c>
    </row>
    <row r="73" spans="1:10" x14ac:dyDescent="0.25">
      <c r="A73" s="3" t="s">
        <v>16</v>
      </c>
      <c r="B73" s="3" t="s">
        <v>17</v>
      </c>
      <c r="C73" s="4">
        <v>403</v>
      </c>
      <c r="D73" s="5">
        <v>42045</v>
      </c>
      <c r="E73" s="8" t="s">
        <v>10</v>
      </c>
      <c r="F73" s="4" t="s">
        <v>9</v>
      </c>
      <c r="G73" s="20">
        <v>1.75</v>
      </c>
      <c r="H73" s="20">
        <v>0.15</v>
      </c>
      <c r="I73" s="20">
        <v>0.29224999999999995</v>
      </c>
      <c r="J73" s="20">
        <v>0.57750000000000001</v>
      </c>
    </row>
    <row r="74" spans="1:10" x14ac:dyDescent="0.25">
      <c r="A74" s="3" t="s">
        <v>16</v>
      </c>
      <c r="B74" s="3" t="s">
        <v>17</v>
      </c>
      <c r="C74" s="4">
        <v>404</v>
      </c>
      <c r="D74" s="5">
        <v>42045</v>
      </c>
      <c r="E74" s="8" t="s">
        <v>10</v>
      </c>
      <c r="F74" s="4" t="s">
        <v>9</v>
      </c>
      <c r="G74" s="20">
        <v>2.4700000000000002</v>
      </c>
      <c r="H74" s="20">
        <v>0.5</v>
      </c>
      <c r="I74" s="20">
        <v>0.49153000000000002</v>
      </c>
      <c r="J74" s="20">
        <v>0.89414000000000016</v>
      </c>
    </row>
    <row r="75" spans="1:10" x14ac:dyDescent="0.25">
      <c r="A75" s="3" t="s">
        <v>16</v>
      </c>
      <c r="B75" s="3" t="s">
        <v>17</v>
      </c>
      <c r="C75" s="4">
        <v>405</v>
      </c>
      <c r="D75" s="5">
        <v>42045</v>
      </c>
      <c r="E75" s="8" t="s">
        <v>10</v>
      </c>
      <c r="F75" s="4" t="s">
        <v>9</v>
      </c>
      <c r="G75" s="20">
        <v>2.36</v>
      </c>
      <c r="H75" s="20">
        <v>0.61</v>
      </c>
      <c r="I75" s="20">
        <v>0.67023999999999995</v>
      </c>
      <c r="J75" s="20">
        <v>0.6018</v>
      </c>
    </row>
    <row r="76" spans="1:10" x14ac:dyDescent="0.25">
      <c r="A76" s="3" t="s">
        <v>16</v>
      </c>
      <c r="B76" s="3" t="s">
        <v>17</v>
      </c>
      <c r="C76" s="4">
        <v>549</v>
      </c>
      <c r="D76" s="5">
        <v>42178</v>
      </c>
      <c r="E76" s="3" t="s">
        <v>10</v>
      </c>
      <c r="F76" s="4" t="s">
        <v>11</v>
      </c>
      <c r="G76" s="20">
        <v>4.76</v>
      </c>
      <c r="H76" s="20">
        <v>1.1599999999999999</v>
      </c>
      <c r="I76" s="20">
        <v>2.0943999999999998</v>
      </c>
      <c r="J76" s="20">
        <v>1.4470399999999999</v>
      </c>
    </row>
    <row r="77" spans="1:10" x14ac:dyDescent="0.25">
      <c r="A77" s="3" t="s">
        <v>16</v>
      </c>
      <c r="B77" s="3" t="s">
        <v>17</v>
      </c>
      <c r="C77" s="4">
        <v>550</v>
      </c>
      <c r="D77" s="5">
        <v>42178</v>
      </c>
      <c r="E77" s="3" t="s">
        <v>10</v>
      </c>
      <c r="F77" s="4" t="s">
        <v>11</v>
      </c>
      <c r="G77" s="20">
        <v>7.29</v>
      </c>
      <c r="H77" s="20">
        <v>2.97</v>
      </c>
      <c r="I77" s="20">
        <v>2.32551</v>
      </c>
      <c r="J77" s="20">
        <v>2.5442099999999996</v>
      </c>
    </row>
    <row r="78" spans="1:10" x14ac:dyDescent="0.25">
      <c r="A78" s="3" t="s">
        <v>16</v>
      </c>
      <c r="B78" s="3" t="s">
        <v>17</v>
      </c>
      <c r="C78" s="4">
        <v>741</v>
      </c>
      <c r="D78" s="5">
        <v>42045</v>
      </c>
      <c r="E78" s="3" t="s">
        <v>7</v>
      </c>
      <c r="F78" s="4" t="s">
        <v>8</v>
      </c>
      <c r="G78" s="20">
        <v>4.3099999999999996</v>
      </c>
      <c r="H78" s="20">
        <v>1.43</v>
      </c>
      <c r="I78" s="20">
        <v>1.3404099999999999</v>
      </c>
      <c r="J78" s="20">
        <v>1.0085399999999998</v>
      </c>
    </row>
    <row r="79" spans="1:10" x14ac:dyDescent="0.25">
      <c r="A79" s="3" t="s">
        <v>16</v>
      </c>
      <c r="B79" s="3" t="s">
        <v>17</v>
      </c>
      <c r="C79" s="4">
        <v>742</v>
      </c>
      <c r="D79" s="5">
        <v>42045</v>
      </c>
      <c r="E79" s="3" t="s">
        <v>7</v>
      </c>
      <c r="F79" s="4" t="s">
        <v>8</v>
      </c>
      <c r="G79" s="20">
        <v>4.6399999999999997</v>
      </c>
      <c r="H79" s="20">
        <v>1.05</v>
      </c>
      <c r="I79" s="20">
        <v>1.6982399999999997</v>
      </c>
      <c r="J79" s="20">
        <v>1.18784</v>
      </c>
    </row>
    <row r="80" spans="1:10" x14ac:dyDescent="0.25">
      <c r="A80" s="3" t="s">
        <v>16</v>
      </c>
      <c r="B80" s="3" t="s">
        <v>17</v>
      </c>
      <c r="C80" s="4">
        <v>743</v>
      </c>
      <c r="D80" s="5">
        <v>42045</v>
      </c>
      <c r="E80" s="3" t="s">
        <v>7</v>
      </c>
      <c r="F80" s="4" t="s">
        <v>9</v>
      </c>
      <c r="G80" s="20">
        <v>1.63</v>
      </c>
      <c r="H80" s="20">
        <v>0.41</v>
      </c>
      <c r="I80" s="20">
        <v>0.23634999999999998</v>
      </c>
      <c r="J80" s="20">
        <v>0.53952999999999995</v>
      </c>
    </row>
    <row r="81" spans="1:10" x14ac:dyDescent="0.25">
      <c r="A81" s="3" t="s">
        <v>16</v>
      </c>
      <c r="B81" s="3" t="s">
        <v>17</v>
      </c>
      <c r="C81" s="4">
        <v>744</v>
      </c>
      <c r="D81" s="5">
        <v>42045</v>
      </c>
      <c r="E81" s="3" t="s">
        <v>7</v>
      </c>
      <c r="F81" s="4" t="s">
        <v>9</v>
      </c>
      <c r="G81" s="20">
        <v>2.15</v>
      </c>
      <c r="H81" s="20">
        <v>0.8</v>
      </c>
      <c r="I81" s="20">
        <v>0.35475000000000001</v>
      </c>
      <c r="J81" s="20">
        <v>0.66004999999999991</v>
      </c>
    </row>
    <row r="82" spans="1:10" x14ac:dyDescent="0.25">
      <c r="A82" s="3" t="s">
        <v>16</v>
      </c>
      <c r="B82" s="3" t="s">
        <v>17</v>
      </c>
      <c r="C82" s="4">
        <v>745</v>
      </c>
      <c r="D82" s="5">
        <v>42045</v>
      </c>
      <c r="E82" s="8" t="s">
        <v>10</v>
      </c>
      <c r="F82" s="4" t="s">
        <v>8</v>
      </c>
      <c r="G82" s="20">
        <v>5.4</v>
      </c>
      <c r="H82" s="20">
        <v>0.93</v>
      </c>
      <c r="I82" s="20">
        <v>1.8522000000000001</v>
      </c>
      <c r="J82" s="20">
        <v>1.9602000000000002</v>
      </c>
    </row>
    <row r="83" spans="1:10" x14ac:dyDescent="0.25">
      <c r="A83" s="3" t="s">
        <v>16</v>
      </c>
      <c r="B83" s="3" t="s">
        <v>17</v>
      </c>
      <c r="C83" s="4">
        <v>746</v>
      </c>
      <c r="D83" s="5">
        <v>42045</v>
      </c>
      <c r="E83" s="8" t="s">
        <v>10</v>
      </c>
      <c r="F83" s="4" t="s">
        <v>8</v>
      </c>
      <c r="G83" s="20">
        <v>5.66</v>
      </c>
      <c r="H83" s="20">
        <v>1.03</v>
      </c>
      <c r="I83" s="20">
        <v>1.7998800000000001</v>
      </c>
      <c r="J83" s="20">
        <v>2.15646</v>
      </c>
    </row>
    <row r="84" spans="1:10" x14ac:dyDescent="0.25">
      <c r="A84" s="3" t="s">
        <v>16</v>
      </c>
      <c r="B84" s="3" t="s">
        <v>17</v>
      </c>
      <c r="C84" s="4">
        <v>747</v>
      </c>
      <c r="D84" s="5">
        <v>42045</v>
      </c>
      <c r="E84" s="8" t="s">
        <v>10</v>
      </c>
      <c r="F84" s="4" t="s">
        <v>8</v>
      </c>
      <c r="G84" s="20">
        <v>3.83</v>
      </c>
      <c r="H84" s="20">
        <v>1.1200000000000001</v>
      </c>
      <c r="I84" s="20">
        <v>1.14517</v>
      </c>
      <c r="J84" s="20">
        <v>1.40178</v>
      </c>
    </row>
    <row r="85" spans="1:10" x14ac:dyDescent="0.25">
      <c r="A85" s="3" t="s">
        <v>16</v>
      </c>
      <c r="B85" s="3" t="s">
        <v>17</v>
      </c>
      <c r="C85" s="4">
        <v>748</v>
      </c>
      <c r="D85" s="5">
        <v>42045</v>
      </c>
      <c r="E85" s="8" t="s">
        <v>10</v>
      </c>
      <c r="F85" s="4" t="s">
        <v>8</v>
      </c>
      <c r="G85" s="20">
        <v>4.8899999999999997</v>
      </c>
      <c r="H85" s="20">
        <v>0.66</v>
      </c>
      <c r="I85" s="20">
        <v>1.7995199999999998</v>
      </c>
      <c r="J85" s="20">
        <v>1.6332599999999997</v>
      </c>
    </row>
    <row r="86" spans="1:10" x14ac:dyDescent="0.25">
      <c r="A86" s="3" t="s">
        <v>16</v>
      </c>
      <c r="B86" s="3" t="s">
        <v>17</v>
      </c>
      <c r="C86" s="4">
        <v>749</v>
      </c>
      <c r="D86" s="5">
        <v>42045</v>
      </c>
      <c r="E86" s="8" t="s">
        <v>10</v>
      </c>
      <c r="F86" s="4" t="s">
        <v>8</v>
      </c>
      <c r="G86" s="20">
        <v>5.0199999999999996</v>
      </c>
      <c r="H86" s="20">
        <v>1.29</v>
      </c>
      <c r="I86" s="20">
        <v>1.5461599999999998</v>
      </c>
      <c r="J86" s="20">
        <v>1.8473599999999999</v>
      </c>
    </row>
    <row r="87" spans="1:10" x14ac:dyDescent="0.25">
      <c r="A87" s="3" t="s">
        <v>16</v>
      </c>
      <c r="B87" s="3" t="s">
        <v>17</v>
      </c>
      <c r="C87" s="4">
        <v>750</v>
      </c>
      <c r="D87" s="5">
        <v>42045</v>
      </c>
      <c r="E87" s="8" t="s">
        <v>10</v>
      </c>
      <c r="F87" s="4" t="s">
        <v>8</v>
      </c>
      <c r="G87" s="20">
        <v>6.05</v>
      </c>
      <c r="H87" s="20">
        <v>0.95</v>
      </c>
      <c r="I87" s="20">
        <v>2.4804999999999997</v>
      </c>
      <c r="J87" s="20">
        <v>1.8996999999999999</v>
      </c>
    </row>
    <row r="88" spans="1:10" x14ac:dyDescent="0.25">
      <c r="A88" s="3" t="s">
        <v>18</v>
      </c>
      <c r="B88" s="3" t="s">
        <v>19</v>
      </c>
      <c r="C88" s="4">
        <v>125</v>
      </c>
      <c r="D88" s="5">
        <v>42228</v>
      </c>
      <c r="E88" s="3" t="s">
        <v>10</v>
      </c>
      <c r="F88" s="4" t="s">
        <v>8</v>
      </c>
      <c r="G88" s="20">
        <v>3.62</v>
      </c>
      <c r="H88" s="20">
        <v>0.13</v>
      </c>
      <c r="I88" s="20">
        <v>0.81812000000000007</v>
      </c>
      <c r="J88" s="20">
        <v>1.09324</v>
      </c>
    </row>
    <row r="89" spans="1:10" x14ac:dyDescent="0.25">
      <c r="A89" s="3" t="s">
        <v>18</v>
      </c>
      <c r="B89" s="3" t="s">
        <v>19</v>
      </c>
      <c r="C89" s="4">
        <v>126</v>
      </c>
      <c r="D89" s="5">
        <v>42228</v>
      </c>
      <c r="E89" s="3" t="s">
        <v>10</v>
      </c>
      <c r="F89" s="4" t="s">
        <v>11</v>
      </c>
      <c r="G89" s="20">
        <v>5.07</v>
      </c>
      <c r="H89" s="20">
        <v>0.47</v>
      </c>
      <c r="I89" s="20">
        <v>1.18638</v>
      </c>
      <c r="J89" s="20">
        <v>1.64775</v>
      </c>
    </row>
    <row r="90" spans="1:10" x14ac:dyDescent="0.25">
      <c r="A90" s="3" t="s">
        <v>18</v>
      </c>
      <c r="B90" s="3" t="s">
        <v>19</v>
      </c>
      <c r="C90" s="4">
        <v>524</v>
      </c>
      <c r="D90" s="5">
        <v>42171</v>
      </c>
      <c r="E90" s="3" t="s">
        <v>10</v>
      </c>
      <c r="F90" s="4" t="s">
        <v>8</v>
      </c>
      <c r="G90" s="20">
        <v>6.76</v>
      </c>
      <c r="H90" s="20">
        <v>1.05</v>
      </c>
      <c r="I90" s="20">
        <v>2.5485199999999999</v>
      </c>
      <c r="J90" s="20">
        <v>1.9739199999999999</v>
      </c>
    </row>
    <row r="91" spans="1:10" x14ac:dyDescent="0.25">
      <c r="A91" s="3" t="s">
        <v>18</v>
      </c>
      <c r="B91" s="3" t="s">
        <v>19</v>
      </c>
      <c r="C91" s="4">
        <v>525</v>
      </c>
      <c r="D91" s="5">
        <v>42171</v>
      </c>
      <c r="E91" s="3" t="s">
        <v>10</v>
      </c>
      <c r="F91" s="4" t="s">
        <v>8</v>
      </c>
      <c r="G91" s="20">
        <v>5.99</v>
      </c>
      <c r="H91" s="20">
        <v>1.17</v>
      </c>
      <c r="I91" s="20">
        <v>2.1983300000000003</v>
      </c>
      <c r="J91" s="20">
        <v>1.7550699999999999</v>
      </c>
    </row>
    <row r="92" spans="1:10" x14ac:dyDescent="0.25">
      <c r="A92" s="3" t="s">
        <v>18</v>
      </c>
      <c r="B92" s="3" t="s">
        <v>19</v>
      </c>
      <c r="C92" s="4">
        <v>526</v>
      </c>
      <c r="D92" s="5">
        <v>42171</v>
      </c>
      <c r="E92" s="3" t="s">
        <v>10</v>
      </c>
      <c r="F92" s="4" t="s">
        <v>9</v>
      </c>
      <c r="G92" s="20">
        <v>1.55</v>
      </c>
      <c r="H92" s="20">
        <v>0.36</v>
      </c>
      <c r="I92" s="20">
        <v>0.2387</v>
      </c>
      <c r="J92" s="20">
        <v>0.41230000000000006</v>
      </c>
    </row>
    <row r="93" spans="1:10" x14ac:dyDescent="0.25">
      <c r="A93" s="3" t="s">
        <v>18</v>
      </c>
      <c r="B93" s="3" t="s">
        <v>19</v>
      </c>
      <c r="C93" s="4">
        <v>706</v>
      </c>
      <c r="D93" s="5">
        <v>42360</v>
      </c>
      <c r="E93" s="3" t="s">
        <v>10</v>
      </c>
      <c r="F93" s="4" t="s">
        <v>11</v>
      </c>
      <c r="G93" s="24">
        <v>6.16</v>
      </c>
      <c r="H93" s="24">
        <v>0.94</v>
      </c>
      <c r="I93" s="20">
        <v>1.18272</v>
      </c>
      <c r="J93" s="20">
        <v>1.7001600000000001</v>
      </c>
    </row>
    <row r="94" spans="1:10" x14ac:dyDescent="0.25">
      <c r="A94" s="3" t="s">
        <v>18</v>
      </c>
      <c r="B94" s="3" t="s">
        <v>19</v>
      </c>
      <c r="C94" s="4">
        <v>707</v>
      </c>
      <c r="D94" s="5">
        <v>42360</v>
      </c>
      <c r="E94" s="3" t="s">
        <v>7</v>
      </c>
      <c r="F94" s="4" t="s">
        <v>8</v>
      </c>
      <c r="G94" s="24">
        <v>5.37</v>
      </c>
      <c r="H94" s="24">
        <v>0.8</v>
      </c>
      <c r="I94" s="20">
        <v>0.82698000000000005</v>
      </c>
      <c r="J94" s="20">
        <v>1.0740000000000001</v>
      </c>
    </row>
    <row r="95" spans="1:10" x14ac:dyDescent="0.25">
      <c r="A95" s="3" t="s">
        <v>18</v>
      </c>
      <c r="B95" s="3" t="s">
        <v>19</v>
      </c>
      <c r="C95" s="4">
        <v>708</v>
      </c>
      <c r="D95" s="5">
        <v>42360</v>
      </c>
      <c r="E95" s="3" t="s">
        <v>7</v>
      </c>
      <c r="F95" s="4" t="s">
        <v>11</v>
      </c>
      <c r="G95" s="24">
        <v>6.08</v>
      </c>
      <c r="H95" s="24">
        <v>1.64</v>
      </c>
      <c r="I95" s="20">
        <v>0.86335999999999991</v>
      </c>
      <c r="J95" s="20">
        <v>0.78432000000000002</v>
      </c>
    </row>
    <row r="96" spans="1:10" x14ac:dyDescent="0.25">
      <c r="A96" s="3" t="s">
        <v>18</v>
      </c>
      <c r="B96" s="3" t="s">
        <v>19</v>
      </c>
      <c r="C96" s="4">
        <v>709</v>
      </c>
      <c r="D96" s="5">
        <v>42360</v>
      </c>
      <c r="E96" s="3" t="s">
        <v>10</v>
      </c>
      <c r="F96" s="4" t="s">
        <v>8</v>
      </c>
      <c r="G96" s="24">
        <v>4.95</v>
      </c>
      <c r="H96" s="24">
        <v>1.4</v>
      </c>
      <c r="I96" s="20">
        <v>0.8365499999999999</v>
      </c>
      <c r="J96" s="20">
        <v>0.83160000000000012</v>
      </c>
    </row>
    <row r="97" spans="1:10" x14ac:dyDescent="0.25">
      <c r="A97" s="3" t="s">
        <v>18</v>
      </c>
      <c r="B97" s="3" t="s">
        <v>19</v>
      </c>
      <c r="C97" s="4">
        <v>710</v>
      </c>
      <c r="D97" s="5">
        <v>42360</v>
      </c>
      <c r="E97" s="3" t="s">
        <v>10</v>
      </c>
      <c r="F97" s="4" t="s">
        <v>8</v>
      </c>
      <c r="G97" s="24">
        <v>7.41</v>
      </c>
      <c r="H97" s="24">
        <v>1.03</v>
      </c>
      <c r="I97" s="20">
        <v>1.5338699999999998</v>
      </c>
      <c r="J97" s="20">
        <v>1.91178</v>
      </c>
    </row>
    <row r="98" spans="1:10" x14ac:dyDescent="0.25">
      <c r="A98" s="3" t="s">
        <v>18</v>
      </c>
      <c r="B98" s="3" t="s">
        <v>19</v>
      </c>
      <c r="C98" s="4">
        <v>711</v>
      </c>
      <c r="D98" s="5">
        <v>42360</v>
      </c>
      <c r="E98" s="3" t="s">
        <v>10</v>
      </c>
      <c r="F98" s="4" t="s">
        <v>11</v>
      </c>
      <c r="G98" s="24">
        <v>4.22</v>
      </c>
      <c r="H98" s="24">
        <v>0.66</v>
      </c>
      <c r="I98" s="20">
        <v>0.79335999999999995</v>
      </c>
      <c r="J98" s="20">
        <v>0.82711999999999997</v>
      </c>
    </row>
    <row r="99" spans="1:10" x14ac:dyDescent="0.25">
      <c r="A99" s="3" t="s">
        <v>18</v>
      </c>
      <c r="B99" s="3" t="s">
        <v>19</v>
      </c>
      <c r="C99" s="4">
        <v>712</v>
      </c>
      <c r="D99" s="5">
        <v>42360</v>
      </c>
      <c r="E99" s="3" t="s">
        <v>10</v>
      </c>
      <c r="F99" s="4" t="s">
        <v>11</v>
      </c>
      <c r="G99" s="24">
        <v>3.94</v>
      </c>
      <c r="H99" s="24">
        <v>1.27</v>
      </c>
      <c r="I99" s="20">
        <v>0.6658599999999999</v>
      </c>
      <c r="J99" s="20">
        <v>0.74465999999999988</v>
      </c>
    </row>
    <row r="100" spans="1:10" x14ac:dyDescent="0.25">
      <c r="A100" s="3" t="s">
        <v>18</v>
      </c>
      <c r="B100" s="3" t="s">
        <v>19</v>
      </c>
      <c r="C100" s="4">
        <v>713</v>
      </c>
      <c r="D100" s="5">
        <v>42360</v>
      </c>
      <c r="E100" s="3" t="s">
        <v>10</v>
      </c>
      <c r="F100" s="4" t="s">
        <v>11</v>
      </c>
      <c r="G100" s="24">
        <v>6.11</v>
      </c>
      <c r="H100" s="24">
        <v>1.88</v>
      </c>
      <c r="I100" s="20">
        <v>1.22811</v>
      </c>
      <c r="J100" s="20">
        <v>0.91039000000000003</v>
      </c>
    </row>
    <row r="101" spans="1:10" x14ac:dyDescent="0.25">
      <c r="A101" s="3" t="s">
        <v>18</v>
      </c>
      <c r="B101" s="3" t="s">
        <v>19</v>
      </c>
      <c r="C101" s="4">
        <v>717</v>
      </c>
      <c r="D101" s="5">
        <v>42388</v>
      </c>
      <c r="E101" s="3" t="s">
        <v>7</v>
      </c>
      <c r="F101" s="4" t="s">
        <v>8</v>
      </c>
      <c r="G101" s="24">
        <v>6.71</v>
      </c>
      <c r="H101" s="24">
        <v>0.61</v>
      </c>
      <c r="I101" s="20">
        <v>0.83875</v>
      </c>
      <c r="J101" s="20">
        <v>0.52807700000000002</v>
      </c>
    </row>
    <row r="102" spans="1:10" x14ac:dyDescent="0.25">
      <c r="A102" s="3" t="s">
        <v>18</v>
      </c>
      <c r="B102" s="3" t="s">
        <v>19</v>
      </c>
      <c r="C102" s="4">
        <v>718</v>
      </c>
      <c r="D102" s="5">
        <v>42388</v>
      </c>
      <c r="E102" s="3" t="s">
        <v>7</v>
      </c>
      <c r="F102" s="4" t="s">
        <v>8</v>
      </c>
      <c r="G102" s="24">
        <v>8.58</v>
      </c>
      <c r="H102" s="24">
        <v>0.79</v>
      </c>
      <c r="I102" s="20">
        <v>1.3728</v>
      </c>
      <c r="J102" s="20">
        <v>0.99527999999999994</v>
      </c>
    </row>
    <row r="103" spans="1:10" x14ac:dyDescent="0.25">
      <c r="A103" s="3" t="s">
        <v>18</v>
      </c>
      <c r="B103" s="3" t="s">
        <v>19</v>
      </c>
      <c r="C103" s="4">
        <v>719</v>
      </c>
      <c r="D103" s="5">
        <v>42388</v>
      </c>
      <c r="E103" s="3" t="s">
        <v>10</v>
      </c>
      <c r="F103" s="4" t="s">
        <v>8</v>
      </c>
      <c r="G103" s="24">
        <v>5.0599999999999996</v>
      </c>
      <c r="H103" s="24">
        <v>0.47</v>
      </c>
      <c r="I103" s="20">
        <v>0.75393999999999994</v>
      </c>
      <c r="J103" s="20">
        <v>0.60214000000000001</v>
      </c>
    </row>
    <row r="104" spans="1:10" x14ac:dyDescent="0.25">
      <c r="A104" s="3" t="s">
        <v>18</v>
      </c>
      <c r="B104" s="3" t="s">
        <v>19</v>
      </c>
      <c r="C104" s="4">
        <v>720</v>
      </c>
      <c r="D104" s="5">
        <v>42388</v>
      </c>
      <c r="E104" s="3" t="s">
        <v>10</v>
      </c>
      <c r="F104" s="4" t="s">
        <v>8</v>
      </c>
      <c r="G104" s="24">
        <v>4.0999999999999996</v>
      </c>
      <c r="H104" s="24">
        <v>0.73</v>
      </c>
      <c r="I104" s="20">
        <v>0.56989999999999996</v>
      </c>
      <c r="J104" s="20">
        <v>0.26568000000000003</v>
      </c>
    </row>
    <row r="105" spans="1:10" x14ac:dyDescent="0.25">
      <c r="A105" s="3" t="s">
        <v>18</v>
      </c>
      <c r="B105" s="3" t="s">
        <v>19</v>
      </c>
      <c r="C105" s="4">
        <v>721</v>
      </c>
      <c r="D105" s="5">
        <v>42388</v>
      </c>
      <c r="E105" s="3" t="s">
        <v>10</v>
      </c>
      <c r="F105" s="4" t="s">
        <v>11</v>
      </c>
      <c r="G105" s="24">
        <v>4.66</v>
      </c>
      <c r="H105" s="24">
        <v>0.3</v>
      </c>
      <c r="I105" s="20">
        <v>0.72696000000000005</v>
      </c>
      <c r="J105" s="20">
        <v>0.54055999999999993</v>
      </c>
    </row>
    <row r="106" spans="1:10" x14ac:dyDescent="0.25">
      <c r="A106" s="3" t="s">
        <v>18</v>
      </c>
      <c r="B106" s="3" t="s">
        <v>19</v>
      </c>
      <c r="C106" s="4">
        <v>722</v>
      </c>
      <c r="D106" s="5">
        <v>42388</v>
      </c>
      <c r="E106" s="3" t="s">
        <v>10</v>
      </c>
      <c r="F106" s="4" t="s">
        <v>11</v>
      </c>
      <c r="G106" s="24">
        <v>4.25</v>
      </c>
      <c r="H106" s="24">
        <v>0.16</v>
      </c>
      <c r="I106" s="20">
        <v>0.51849999999999996</v>
      </c>
      <c r="J106" s="20">
        <v>0.42924999999999996</v>
      </c>
    </row>
    <row r="107" spans="1:10" x14ac:dyDescent="0.25">
      <c r="A107" s="3" t="s">
        <v>18</v>
      </c>
      <c r="B107" s="3" t="s">
        <v>19</v>
      </c>
      <c r="C107" s="4">
        <v>723</v>
      </c>
      <c r="D107" s="5">
        <v>42388</v>
      </c>
      <c r="E107" s="3" t="s">
        <v>10</v>
      </c>
      <c r="F107" s="4" t="s">
        <v>9</v>
      </c>
      <c r="G107" s="24">
        <v>1.44</v>
      </c>
      <c r="H107" s="24">
        <v>0.1</v>
      </c>
      <c r="I107" s="20">
        <v>0.11131200000000001</v>
      </c>
      <c r="J107" s="20">
        <v>0.23039999999999999</v>
      </c>
    </row>
    <row r="108" spans="1:10" x14ac:dyDescent="0.25">
      <c r="A108" s="3" t="s">
        <v>18</v>
      </c>
      <c r="B108" s="3" t="s">
        <v>19</v>
      </c>
      <c r="C108" s="4">
        <v>724</v>
      </c>
      <c r="D108" s="5">
        <v>42388</v>
      </c>
      <c r="E108" s="3" t="s">
        <v>10</v>
      </c>
      <c r="F108" s="4" t="s">
        <v>9</v>
      </c>
      <c r="G108" s="24">
        <v>2.21</v>
      </c>
      <c r="H108" s="24">
        <v>0.16</v>
      </c>
      <c r="I108" s="20">
        <v>0.12685399999999999</v>
      </c>
      <c r="J108" s="20">
        <v>0.19359599999999999</v>
      </c>
    </row>
    <row r="109" spans="1:10" x14ac:dyDescent="0.25">
      <c r="A109" s="3" t="s">
        <v>18</v>
      </c>
      <c r="B109" s="3" t="s">
        <v>19</v>
      </c>
      <c r="C109" s="4">
        <v>737</v>
      </c>
      <c r="D109" s="5">
        <v>42388</v>
      </c>
      <c r="E109" s="3" t="s">
        <v>7</v>
      </c>
      <c r="F109" s="4" t="s">
        <v>11</v>
      </c>
      <c r="G109" s="24">
        <v>8.1</v>
      </c>
      <c r="H109" s="24">
        <v>0.48</v>
      </c>
      <c r="I109" s="20">
        <v>1.2879</v>
      </c>
      <c r="J109" s="20">
        <v>0.75410999999999995</v>
      </c>
    </row>
    <row r="110" spans="1:10" x14ac:dyDescent="0.25">
      <c r="A110" s="3" t="s">
        <v>18</v>
      </c>
      <c r="B110" s="3" t="s">
        <v>19</v>
      </c>
      <c r="C110" s="4">
        <v>738</v>
      </c>
      <c r="D110" s="5">
        <v>42388</v>
      </c>
      <c r="E110" s="3" t="s">
        <v>7</v>
      </c>
      <c r="F110" s="4" t="s">
        <v>11</v>
      </c>
      <c r="G110" s="24">
        <v>6.32</v>
      </c>
      <c r="H110" s="24">
        <v>0.33</v>
      </c>
      <c r="I110" s="20">
        <v>1.6874400000000003</v>
      </c>
      <c r="J110" s="20">
        <v>0.37793600000000005</v>
      </c>
    </row>
    <row r="111" spans="1:10" x14ac:dyDescent="0.25">
      <c r="A111" s="3" t="s">
        <v>18</v>
      </c>
      <c r="B111" s="3" t="s">
        <v>19</v>
      </c>
      <c r="C111" s="4">
        <v>775</v>
      </c>
      <c r="D111" s="5">
        <v>42213</v>
      </c>
      <c r="E111" s="3" t="s">
        <v>10</v>
      </c>
      <c r="F111" s="4" t="s">
        <v>8</v>
      </c>
      <c r="G111" s="20">
        <v>6.06</v>
      </c>
      <c r="H111" s="20">
        <v>0.79</v>
      </c>
      <c r="I111" s="20">
        <v>1.3574399999999998</v>
      </c>
      <c r="J111" s="20">
        <v>2.5815599999999996</v>
      </c>
    </row>
    <row r="112" spans="1:10" x14ac:dyDescent="0.25">
      <c r="A112" s="3" t="s">
        <v>18</v>
      </c>
      <c r="B112" s="3" t="s">
        <v>19</v>
      </c>
      <c r="C112" s="4">
        <v>776</v>
      </c>
      <c r="D112" s="5">
        <v>42213</v>
      </c>
      <c r="E112" s="3" t="s">
        <v>10</v>
      </c>
      <c r="F112" s="4" t="s">
        <v>9</v>
      </c>
      <c r="G112" s="20">
        <v>1.68</v>
      </c>
      <c r="H112" s="20">
        <v>0.35</v>
      </c>
      <c r="I112" s="20">
        <v>0.18479999999999999</v>
      </c>
      <c r="J112" s="20">
        <v>0.504</v>
      </c>
    </row>
    <row r="113" spans="1:10" x14ac:dyDescent="0.25">
      <c r="A113" s="3" t="s">
        <v>18</v>
      </c>
      <c r="B113" s="3" t="s">
        <v>19</v>
      </c>
      <c r="C113" s="4">
        <v>777</v>
      </c>
      <c r="D113" s="5">
        <v>42213</v>
      </c>
      <c r="E113" s="3" t="s">
        <v>10</v>
      </c>
      <c r="F113" s="4" t="s">
        <v>9</v>
      </c>
      <c r="G113" s="20">
        <v>1.91</v>
      </c>
      <c r="H113" s="20">
        <v>0.3</v>
      </c>
      <c r="I113" s="20">
        <v>0.20437</v>
      </c>
      <c r="J113" s="20">
        <v>0.54626000000000008</v>
      </c>
    </row>
    <row r="114" spans="1:10" x14ac:dyDescent="0.25">
      <c r="A114" s="3" t="s">
        <v>18</v>
      </c>
      <c r="B114" s="3" t="s">
        <v>19</v>
      </c>
      <c r="C114" s="4">
        <v>778</v>
      </c>
      <c r="D114" s="5">
        <v>42213</v>
      </c>
      <c r="E114" s="3" t="s">
        <v>7</v>
      </c>
      <c r="F114" s="4" t="s">
        <v>8</v>
      </c>
      <c r="G114" s="20">
        <v>4.08</v>
      </c>
      <c r="H114" s="20">
        <v>0.57999999999999996</v>
      </c>
      <c r="I114" s="20">
        <v>1.3708800000000001</v>
      </c>
      <c r="J114" s="20">
        <v>0.90168000000000004</v>
      </c>
    </row>
    <row r="115" spans="1:10" x14ac:dyDescent="0.25">
      <c r="A115" s="3" t="s">
        <v>18</v>
      </c>
      <c r="B115" s="3" t="s">
        <v>19</v>
      </c>
      <c r="C115" s="4">
        <v>779</v>
      </c>
      <c r="D115" s="5">
        <v>42213</v>
      </c>
      <c r="E115" s="3" t="s">
        <v>7</v>
      </c>
      <c r="F115" s="4" t="s">
        <v>9</v>
      </c>
      <c r="G115" s="20">
        <v>2.58</v>
      </c>
      <c r="H115" s="20">
        <v>0.32</v>
      </c>
      <c r="I115" s="20">
        <v>0.22317000000000004</v>
      </c>
      <c r="J115" s="20">
        <v>0.83592</v>
      </c>
    </row>
    <row r="116" spans="1:10" x14ac:dyDescent="0.25">
      <c r="A116" s="3" t="s">
        <v>18</v>
      </c>
      <c r="B116" s="3" t="s">
        <v>19</v>
      </c>
      <c r="C116" s="4">
        <v>904</v>
      </c>
      <c r="D116" s="5">
        <v>42339</v>
      </c>
      <c r="E116" s="3" t="s">
        <v>7</v>
      </c>
      <c r="F116" s="4" t="s">
        <v>8</v>
      </c>
      <c r="G116" s="20">
        <v>6.3</v>
      </c>
      <c r="H116" s="20">
        <v>0.61</v>
      </c>
      <c r="I116" s="20">
        <v>2.1105</v>
      </c>
      <c r="J116" s="20">
        <v>1.6254</v>
      </c>
    </row>
    <row r="117" spans="1:10" x14ac:dyDescent="0.25">
      <c r="A117" s="3" t="s">
        <v>18</v>
      </c>
      <c r="B117" s="3" t="s">
        <v>19</v>
      </c>
      <c r="C117" s="4">
        <v>905</v>
      </c>
      <c r="D117" s="5">
        <v>42339</v>
      </c>
      <c r="E117" s="3" t="s">
        <v>7</v>
      </c>
      <c r="F117" s="4" t="s">
        <v>11</v>
      </c>
      <c r="G117" s="20">
        <v>4.62</v>
      </c>
      <c r="H117" s="20">
        <v>0.28000000000000003</v>
      </c>
      <c r="I117" s="20">
        <v>1.5015000000000001</v>
      </c>
      <c r="J117" s="20">
        <v>1.2058200000000001</v>
      </c>
    </row>
    <row r="118" spans="1:10" x14ac:dyDescent="0.25">
      <c r="A118" s="3" t="s">
        <v>20</v>
      </c>
      <c r="B118" s="3" t="s">
        <v>21</v>
      </c>
      <c r="C118" s="4">
        <v>191</v>
      </c>
      <c r="D118" s="5">
        <v>42123</v>
      </c>
      <c r="E118" s="3" t="s">
        <v>10</v>
      </c>
      <c r="F118" s="4" t="s">
        <v>8</v>
      </c>
      <c r="G118" s="20">
        <v>3.27</v>
      </c>
      <c r="H118" s="20">
        <v>0.4</v>
      </c>
      <c r="I118" s="20">
        <v>0.60822000000000009</v>
      </c>
      <c r="J118" s="20">
        <v>1.5924900000000002</v>
      </c>
    </row>
    <row r="119" spans="1:10" x14ac:dyDescent="0.25">
      <c r="A119" s="3" t="s">
        <v>20</v>
      </c>
      <c r="B119" s="3" t="s">
        <v>21</v>
      </c>
      <c r="C119" s="4">
        <v>192</v>
      </c>
      <c r="D119" s="5">
        <v>42123</v>
      </c>
      <c r="E119" s="3" t="s">
        <v>10</v>
      </c>
      <c r="F119" s="4" t="s">
        <v>8</v>
      </c>
      <c r="G119" s="20">
        <v>3.79</v>
      </c>
      <c r="H119" s="20">
        <v>0.9</v>
      </c>
      <c r="I119" s="20">
        <v>0.72767999999999999</v>
      </c>
      <c r="J119" s="20">
        <v>1.7775099999999999</v>
      </c>
    </row>
    <row r="120" spans="1:10" x14ac:dyDescent="0.25">
      <c r="A120" s="3" t="s">
        <v>20</v>
      </c>
      <c r="B120" s="3" t="s">
        <v>21</v>
      </c>
      <c r="C120" s="4">
        <v>193</v>
      </c>
      <c r="D120" s="5">
        <v>42123</v>
      </c>
      <c r="E120" s="3" t="s">
        <v>10</v>
      </c>
      <c r="F120" s="4" t="s">
        <v>9</v>
      </c>
      <c r="G120" s="20">
        <v>1.48</v>
      </c>
      <c r="H120" s="20">
        <v>0.35</v>
      </c>
      <c r="I120" s="20">
        <v>0.24124000000000001</v>
      </c>
      <c r="J120" s="20">
        <v>0.72076000000000007</v>
      </c>
    </row>
    <row r="121" spans="1:10" x14ac:dyDescent="0.25">
      <c r="A121" s="3" t="s">
        <v>20</v>
      </c>
      <c r="B121" s="3" t="s">
        <v>21</v>
      </c>
      <c r="C121" s="4">
        <v>194</v>
      </c>
      <c r="D121" s="5">
        <v>42123</v>
      </c>
      <c r="E121" s="3" t="s">
        <v>10</v>
      </c>
      <c r="F121" s="4" t="s">
        <v>9</v>
      </c>
      <c r="G121" s="20">
        <v>1.59</v>
      </c>
      <c r="H121" s="20">
        <v>0.44</v>
      </c>
      <c r="I121" s="20">
        <v>0.20193000000000003</v>
      </c>
      <c r="J121" s="20">
        <v>0.80295000000000005</v>
      </c>
    </row>
    <row r="122" spans="1:10" x14ac:dyDescent="0.25">
      <c r="A122" s="3" t="s">
        <v>20</v>
      </c>
      <c r="B122" s="3" t="s">
        <v>21</v>
      </c>
      <c r="C122" s="4">
        <v>195</v>
      </c>
      <c r="D122" s="5">
        <v>42123</v>
      </c>
      <c r="E122" s="3" t="s">
        <v>7</v>
      </c>
      <c r="F122" s="4" t="s">
        <v>8</v>
      </c>
      <c r="G122" s="20">
        <v>4.0999999999999996</v>
      </c>
      <c r="H122" s="20">
        <v>0.35</v>
      </c>
      <c r="I122" s="20">
        <v>0.8528</v>
      </c>
      <c r="J122" s="20">
        <v>2.1073999999999997</v>
      </c>
    </row>
    <row r="123" spans="1:10" x14ac:dyDescent="0.25">
      <c r="A123" s="3" t="s">
        <v>20</v>
      </c>
      <c r="B123" s="3" t="s">
        <v>21</v>
      </c>
      <c r="C123" s="4">
        <v>196</v>
      </c>
      <c r="D123" s="5">
        <v>42123</v>
      </c>
      <c r="E123" s="3" t="s">
        <v>7</v>
      </c>
      <c r="F123" s="4" t="s">
        <v>9</v>
      </c>
      <c r="G123" s="20">
        <v>1.48</v>
      </c>
      <c r="H123" s="20">
        <v>0.34</v>
      </c>
      <c r="I123" s="20">
        <v>0.24864</v>
      </c>
      <c r="J123" s="20">
        <v>0.69116</v>
      </c>
    </row>
    <row r="124" spans="1:10" x14ac:dyDescent="0.25">
      <c r="A124" s="3" t="s">
        <v>20</v>
      </c>
      <c r="B124" s="3" t="s">
        <v>21</v>
      </c>
      <c r="C124" s="4">
        <v>224</v>
      </c>
      <c r="D124" s="5">
        <v>42132</v>
      </c>
      <c r="E124" s="3" t="s">
        <v>7</v>
      </c>
      <c r="F124" s="4" t="s">
        <v>9</v>
      </c>
      <c r="G124" s="20">
        <v>1.96</v>
      </c>
      <c r="H124" s="20">
        <v>0.72</v>
      </c>
      <c r="I124" s="20">
        <v>0.23912</v>
      </c>
      <c r="J124" s="20">
        <v>0.93099999999999994</v>
      </c>
    </row>
    <row r="125" spans="1:10" x14ac:dyDescent="0.25">
      <c r="A125" s="3" t="s">
        <v>20</v>
      </c>
      <c r="B125" s="3" t="s">
        <v>21</v>
      </c>
      <c r="C125" s="4">
        <v>273</v>
      </c>
      <c r="D125" s="5">
        <v>42151</v>
      </c>
      <c r="E125" s="3" t="s">
        <v>7</v>
      </c>
      <c r="F125" s="4" t="s">
        <v>9</v>
      </c>
      <c r="G125" s="20">
        <v>1.86</v>
      </c>
      <c r="H125" s="20">
        <v>0.32</v>
      </c>
      <c r="I125" s="20">
        <v>0.38129999999999997</v>
      </c>
      <c r="J125" s="20">
        <v>0.77748000000000006</v>
      </c>
    </row>
    <row r="126" spans="1:10" x14ac:dyDescent="0.25">
      <c r="A126" s="3" t="s">
        <v>20</v>
      </c>
      <c r="B126" s="3" t="s">
        <v>21</v>
      </c>
      <c r="C126" s="4">
        <v>274</v>
      </c>
      <c r="D126" s="5">
        <v>42151</v>
      </c>
      <c r="E126" s="3" t="s">
        <v>10</v>
      </c>
      <c r="F126" s="4" t="s">
        <v>9</v>
      </c>
      <c r="G126" s="20">
        <v>2.23</v>
      </c>
      <c r="H126" s="20">
        <v>0.39</v>
      </c>
      <c r="I126" s="20">
        <v>0.40139999999999998</v>
      </c>
      <c r="J126" s="20">
        <v>1.03026</v>
      </c>
    </row>
    <row r="127" spans="1:10" x14ac:dyDescent="0.25">
      <c r="A127" s="3" t="s">
        <v>20</v>
      </c>
      <c r="B127" s="3" t="s">
        <v>21</v>
      </c>
      <c r="C127" s="4">
        <v>295</v>
      </c>
      <c r="D127" s="5">
        <v>42157</v>
      </c>
      <c r="E127" s="3" t="s">
        <v>7</v>
      </c>
      <c r="F127" s="4" t="s">
        <v>8</v>
      </c>
      <c r="G127" s="20">
        <v>3.78</v>
      </c>
      <c r="H127" s="20">
        <v>0.36</v>
      </c>
      <c r="I127" s="20">
        <v>0.74465999999999988</v>
      </c>
      <c r="J127" s="20">
        <v>1.8937799999999998</v>
      </c>
    </row>
    <row r="128" spans="1:10" x14ac:dyDescent="0.25">
      <c r="A128" s="3" t="s">
        <v>20</v>
      </c>
      <c r="B128" s="3" t="s">
        <v>21</v>
      </c>
      <c r="C128" s="4">
        <v>296</v>
      </c>
      <c r="D128" s="5">
        <v>42157</v>
      </c>
      <c r="E128" s="3" t="s">
        <v>7</v>
      </c>
      <c r="F128" s="4" t="s">
        <v>8</v>
      </c>
      <c r="G128" s="20">
        <v>5.35</v>
      </c>
      <c r="H128" s="20">
        <v>0.49</v>
      </c>
      <c r="I128" s="20">
        <v>1.4177500000000001</v>
      </c>
      <c r="J128" s="20">
        <v>2.5679999999999996</v>
      </c>
    </row>
    <row r="129" spans="1:10" x14ac:dyDescent="0.25">
      <c r="A129" s="3" t="s">
        <v>20</v>
      </c>
      <c r="B129" s="3" t="s">
        <v>21</v>
      </c>
      <c r="C129" s="4">
        <v>297</v>
      </c>
      <c r="D129" s="5">
        <v>42157</v>
      </c>
      <c r="E129" s="3" t="s">
        <v>7</v>
      </c>
      <c r="F129" s="4" t="s">
        <v>11</v>
      </c>
      <c r="G129" s="20">
        <v>3.01</v>
      </c>
      <c r="H129" s="20">
        <v>0.4</v>
      </c>
      <c r="I129" s="20">
        <v>0.70133000000000001</v>
      </c>
      <c r="J129" s="20">
        <v>1.4267399999999999</v>
      </c>
    </row>
    <row r="130" spans="1:10" x14ac:dyDescent="0.25">
      <c r="A130" s="3" t="s">
        <v>20</v>
      </c>
      <c r="B130" s="3" t="s">
        <v>21</v>
      </c>
      <c r="C130" s="4">
        <v>298</v>
      </c>
      <c r="D130" s="5">
        <v>42157</v>
      </c>
      <c r="E130" s="3" t="s">
        <v>7</v>
      </c>
      <c r="F130" s="4" t="s">
        <v>11</v>
      </c>
      <c r="G130" s="20">
        <v>3.07</v>
      </c>
      <c r="H130" s="20">
        <v>0.35</v>
      </c>
      <c r="I130" s="20">
        <v>0.62627999999999995</v>
      </c>
      <c r="J130" s="20">
        <v>1.5964</v>
      </c>
    </row>
    <row r="131" spans="1:10" x14ac:dyDescent="0.25">
      <c r="A131" s="3" t="s">
        <v>20</v>
      </c>
      <c r="B131" s="3" t="s">
        <v>21</v>
      </c>
      <c r="C131" s="4">
        <v>299</v>
      </c>
      <c r="D131" s="5">
        <v>42157</v>
      </c>
      <c r="E131" s="3" t="s">
        <v>7</v>
      </c>
      <c r="F131" s="4" t="s">
        <v>11</v>
      </c>
      <c r="G131" s="20">
        <v>3.16</v>
      </c>
      <c r="H131" s="20">
        <v>0.34</v>
      </c>
      <c r="I131" s="20">
        <v>0.60040000000000004</v>
      </c>
      <c r="J131" s="20">
        <v>1.6400400000000002</v>
      </c>
    </row>
    <row r="132" spans="1:10" x14ac:dyDescent="0.25">
      <c r="A132" s="3" t="s">
        <v>20</v>
      </c>
      <c r="B132" s="3" t="s">
        <v>21</v>
      </c>
      <c r="C132" s="4">
        <v>300</v>
      </c>
      <c r="D132" s="5">
        <v>42157</v>
      </c>
      <c r="E132" s="3" t="s">
        <v>7</v>
      </c>
      <c r="F132" s="4" t="s">
        <v>11</v>
      </c>
      <c r="G132" s="20">
        <v>4.7300000000000004</v>
      </c>
      <c r="H132" s="20">
        <v>0.51</v>
      </c>
      <c r="I132" s="20">
        <v>1.0500600000000002</v>
      </c>
      <c r="J132" s="20">
        <v>2.4406800000000004</v>
      </c>
    </row>
    <row r="133" spans="1:10" x14ac:dyDescent="0.25">
      <c r="A133" s="3" t="s">
        <v>20</v>
      </c>
      <c r="B133" s="3" t="s">
        <v>21</v>
      </c>
      <c r="C133" s="4">
        <v>346</v>
      </c>
      <c r="D133" s="5">
        <v>42157</v>
      </c>
      <c r="E133" s="3" t="s">
        <v>7</v>
      </c>
      <c r="F133" s="4" t="s">
        <v>11</v>
      </c>
      <c r="G133" s="20">
        <v>3.65</v>
      </c>
      <c r="H133" s="20">
        <v>0.42</v>
      </c>
      <c r="I133" s="20">
        <v>0.76649999999999996</v>
      </c>
      <c r="J133" s="20">
        <v>1.8505499999999999</v>
      </c>
    </row>
    <row r="134" spans="1:10" x14ac:dyDescent="0.25">
      <c r="A134" s="3" t="s">
        <v>20</v>
      </c>
      <c r="B134" s="3" t="s">
        <v>21</v>
      </c>
      <c r="C134" s="4">
        <v>347</v>
      </c>
      <c r="D134" s="5">
        <v>42157</v>
      </c>
      <c r="E134" s="3" t="s">
        <v>7</v>
      </c>
      <c r="F134" s="4" t="s">
        <v>11</v>
      </c>
      <c r="G134" s="20">
        <v>4.8899999999999997</v>
      </c>
      <c r="H134" s="20">
        <v>0.59</v>
      </c>
      <c r="I134" s="20">
        <v>1.4572199999999997</v>
      </c>
      <c r="J134" s="20">
        <v>2.1809400000000001</v>
      </c>
    </row>
    <row r="135" spans="1:10" x14ac:dyDescent="0.25">
      <c r="A135" s="3" t="s">
        <v>20</v>
      </c>
      <c r="B135" s="3" t="s">
        <v>21</v>
      </c>
      <c r="C135" s="4">
        <v>348</v>
      </c>
      <c r="D135" s="5">
        <v>42157</v>
      </c>
      <c r="E135" s="3" t="s">
        <v>10</v>
      </c>
      <c r="F135" s="4" t="s">
        <v>8</v>
      </c>
      <c r="G135" s="20">
        <v>3.29</v>
      </c>
      <c r="H135" s="20">
        <v>0.52</v>
      </c>
      <c r="I135" s="20">
        <v>0.70406000000000002</v>
      </c>
      <c r="J135" s="20">
        <v>1.5265599999999999</v>
      </c>
    </row>
    <row r="136" spans="1:10" x14ac:dyDescent="0.25">
      <c r="A136" s="3" t="s">
        <v>20</v>
      </c>
      <c r="B136" s="3" t="s">
        <v>21</v>
      </c>
      <c r="C136" s="4">
        <v>349</v>
      </c>
      <c r="D136" s="5">
        <v>42157</v>
      </c>
      <c r="E136" s="3" t="s">
        <v>10</v>
      </c>
      <c r="F136" s="4" t="s">
        <v>8</v>
      </c>
      <c r="G136" s="20">
        <v>4.78</v>
      </c>
      <c r="H136" s="20">
        <v>0.78</v>
      </c>
      <c r="I136" s="20">
        <v>0.99902000000000002</v>
      </c>
      <c r="J136" s="20">
        <v>2.4617</v>
      </c>
    </row>
    <row r="137" spans="1:10" x14ac:dyDescent="0.25">
      <c r="A137" s="3" t="s">
        <v>20</v>
      </c>
      <c r="B137" s="3" t="s">
        <v>21</v>
      </c>
      <c r="C137" s="4">
        <v>350</v>
      </c>
      <c r="D137" s="5">
        <v>42157</v>
      </c>
      <c r="E137" s="3" t="s">
        <v>10</v>
      </c>
      <c r="F137" s="4" t="s">
        <v>11</v>
      </c>
      <c r="G137" s="20">
        <v>2.31</v>
      </c>
      <c r="H137" s="20">
        <v>0.22</v>
      </c>
      <c r="I137" s="20">
        <v>0.48509999999999998</v>
      </c>
      <c r="J137" s="20">
        <v>1.1573100000000001</v>
      </c>
    </row>
    <row r="138" spans="1:10" x14ac:dyDescent="0.25">
      <c r="A138" s="3" t="s">
        <v>20</v>
      </c>
      <c r="B138" s="3" t="s">
        <v>21</v>
      </c>
      <c r="C138" s="4">
        <v>351</v>
      </c>
      <c r="D138" s="5">
        <v>42157</v>
      </c>
      <c r="E138" s="3" t="s">
        <v>10</v>
      </c>
      <c r="F138" s="4" t="s">
        <v>11</v>
      </c>
      <c r="G138" s="20">
        <v>3.53</v>
      </c>
      <c r="H138" s="20">
        <v>0.49</v>
      </c>
      <c r="I138" s="20">
        <v>0.75541999999999998</v>
      </c>
      <c r="J138" s="20">
        <v>1.75088</v>
      </c>
    </row>
    <row r="139" spans="1:10" x14ac:dyDescent="0.25">
      <c r="A139" s="3" t="s">
        <v>20</v>
      </c>
      <c r="B139" s="3" t="s">
        <v>21</v>
      </c>
      <c r="C139" s="4">
        <v>400</v>
      </c>
      <c r="D139" s="5">
        <v>42163</v>
      </c>
      <c r="E139" s="3" t="s">
        <v>7</v>
      </c>
      <c r="F139" s="4" t="s">
        <v>11</v>
      </c>
      <c r="G139" s="20">
        <v>3.18</v>
      </c>
      <c r="H139" s="20">
        <v>0.75</v>
      </c>
      <c r="I139" s="20">
        <v>0.77910000000000001</v>
      </c>
      <c r="J139" s="20">
        <v>1.1956800000000001</v>
      </c>
    </row>
    <row r="140" spans="1:10" x14ac:dyDescent="0.25">
      <c r="A140" s="3" t="s">
        <v>20</v>
      </c>
      <c r="B140" s="3" t="s">
        <v>21</v>
      </c>
      <c r="C140" s="4">
        <v>401</v>
      </c>
      <c r="D140" s="5">
        <v>42163</v>
      </c>
      <c r="E140" s="3" t="s">
        <v>10</v>
      </c>
      <c r="F140" s="4" t="s">
        <v>11</v>
      </c>
      <c r="G140" s="20">
        <v>2.2200000000000002</v>
      </c>
      <c r="H140" s="20">
        <v>0.22</v>
      </c>
      <c r="I140" s="20">
        <v>0.64380000000000004</v>
      </c>
      <c r="J140" s="20">
        <v>1.0389600000000001</v>
      </c>
    </row>
    <row r="141" spans="1:10" x14ac:dyDescent="0.25">
      <c r="A141" s="3" t="s">
        <v>20</v>
      </c>
      <c r="B141" s="3" t="s">
        <v>21</v>
      </c>
      <c r="C141" s="4">
        <v>408</v>
      </c>
      <c r="D141" s="13"/>
      <c r="E141" s="3" t="s">
        <v>7</v>
      </c>
      <c r="F141" s="4" t="s">
        <v>8</v>
      </c>
      <c r="G141" s="20">
        <v>6.76</v>
      </c>
      <c r="H141" s="20">
        <v>0.13</v>
      </c>
      <c r="I141" s="20">
        <v>2.0888399999999998</v>
      </c>
      <c r="J141" s="20">
        <v>2.5620400000000001</v>
      </c>
    </row>
    <row r="142" spans="1:10" x14ac:dyDescent="0.25">
      <c r="A142" s="3" t="s">
        <v>20</v>
      </c>
      <c r="B142" s="3" t="s">
        <v>21</v>
      </c>
      <c r="C142" s="4">
        <v>409</v>
      </c>
      <c r="D142" s="13"/>
      <c r="E142" s="3" t="s">
        <v>10</v>
      </c>
      <c r="F142" s="4" t="s">
        <v>8</v>
      </c>
      <c r="G142" s="20">
        <v>7.61</v>
      </c>
      <c r="H142" s="20">
        <v>0.55000000000000004</v>
      </c>
      <c r="I142" s="20">
        <v>2.0090400000000002</v>
      </c>
      <c r="J142" s="20">
        <v>3.1124899999999998</v>
      </c>
    </row>
    <row r="143" spans="1:10" x14ac:dyDescent="0.25">
      <c r="A143" s="3" t="s">
        <v>20</v>
      </c>
      <c r="B143" s="3" t="s">
        <v>21</v>
      </c>
      <c r="C143" s="4">
        <v>410</v>
      </c>
      <c r="D143" s="13"/>
      <c r="E143" s="3" t="s">
        <v>10</v>
      </c>
      <c r="F143" s="4" t="s">
        <v>9</v>
      </c>
      <c r="G143" s="20">
        <v>2.0299999999999998</v>
      </c>
      <c r="H143" s="20">
        <v>0.23</v>
      </c>
      <c r="I143" s="20">
        <v>0.25577999999999995</v>
      </c>
      <c r="J143" s="20">
        <v>0.95816000000000001</v>
      </c>
    </row>
    <row r="144" spans="1:10" x14ac:dyDescent="0.25">
      <c r="A144" s="3" t="s">
        <v>20</v>
      </c>
      <c r="B144" s="3" t="s">
        <v>21</v>
      </c>
      <c r="C144" s="4">
        <v>482</v>
      </c>
      <c r="D144" s="5">
        <v>42073</v>
      </c>
      <c r="E144" s="3" t="s">
        <v>7</v>
      </c>
      <c r="F144" s="4" t="s">
        <v>8</v>
      </c>
      <c r="G144" s="20">
        <v>4.8</v>
      </c>
      <c r="H144" s="20">
        <v>0.37</v>
      </c>
      <c r="I144" s="20">
        <v>1.4063999999999999</v>
      </c>
      <c r="J144" s="20">
        <v>1.8815999999999999</v>
      </c>
    </row>
    <row r="145" spans="1:10" x14ac:dyDescent="0.25">
      <c r="A145" s="3" t="s">
        <v>20</v>
      </c>
      <c r="B145" s="3" t="s">
        <v>21</v>
      </c>
      <c r="C145" s="4">
        <v>483</v>
      </c>
      <c r="D145" s="5">
        <v>42073</v>
      </c>
      <c r="E145" s="3" t="s">
        <v>7</v>
      </c>
      <c r="F145" s="4" t="s">
        <v>9</v>
      </c>
      <c r="G145" s="20">
        <v>2.0299999999999998</v>
      </c>
      <c r="H145" s="20">
        <v>0.34</v>
      </c>
      <c r="I145" s="20">
        <v>0.38163999999999998</v>
      </c>
      <c r="J145" s="20">
        <v>0.75312999999999997</v>
      </c>
    </row>
    <row r="146" spans="1:10" x14ac:dyDescent="0.25">
      <c r="A146" s="3" t="s">
        <v>20</v>
      </c>
      <c r="B146" s="3" t="s">
        <v>21</v>
      </c>
      <c r="C146" s="4">
        <v>484</v>
      </c>
      <c r="D146" s="5">
        <v>42073</v>
      </c>
      <c r="E146" s="3" t="s">
        <v>7</v>
      </c>
      <c r="F146" s="4" t="s">
        <v>9</v>
      </c>
      <c r="G146" s="20">
        <v>2.27</v>
      </c>
      <c r="H146" s="20">
        <v>0.68</v>
      </c>
      <c r="I146" s="20">
        <v>0.31553000000000003</v>
      </c>
      <c r="J146" s="20">
        <v>1.0101500000000001</v>
      </c>
    </row>
    <row r="147" spans="1:10" x14ac:dyDescent="0.25">
      <c r="A147" s="3" t="s">
        <v>20</v>
      </c>
      <c r="B147" s="3" t="s">
        <v>21</v>
      </c>
      <c r="C147" s="4">
        <v>527</v>
      </c>
      <c r="D147" s="5">
        <v>42174</v>
      </c>
      <c r="E147" s="3" t="s">
        <v>7</v>
      </c>
      <c r="F147" s="4" t="s">
        <v>8</v>
      </c>
      <c r="G147" s="20">
        <v>7.12</v>
      </c>
      <c r="H147" s="20">
        <v>0.74</v>
      </c>
      <c r="I147" s="20">
        <v>2.07904</v>
      </c>
      <c r="J147" s="20">
        <v>3.0972</v>
      </c>
    </row>
    <row r="148" spans="1:10" x14ac:dyDescent="0.25">
      <c r="A148" s="3" t="s">
        <v>20</v>
      </c>
      <c r="B148" s="3" t="s">
        <v>21</v>
      </c>
      <c r="C148" s="4">
        <v>529</v>
      </c>
      <c r="D148" s="5">
        <v>42174</v>
      </c>
      <c r="E148" s="3" t="s">
        <v>7</v>
      </c>
      <c r="F148" s="4" t="s">
        <v>11</v>
      </c>
      <c r="G148" s="20">
        <v>6.94</v>
      </c>
      <c r="H148" s="20">
        <v>0.87</v>
      </c>
      <c r="I148" s="20">
        <v>2.49146</v>
      </c>
      <c r="J148" s="20">
        <v>2.6025</v>
      </c>
    </row>
    <row r="149" spans="1:10" x14ac:dyDescent="0.25">
      <c r="A149" s="3" t="s">
        <v>20</v>
      </c>
      <c r="B149" s="3" t="s">
        <v>21</v>
      </c>
      <c r="C149" s="4">
        <v>530</v>
      </c>
      <c r="D149" s="5">
        <v>42174</v>
      </c>
      <c r="E149" s="3" t="s">
        <v>10</v>
      </c>
      <c r="F149" s="4" t="s">
        <v>8</v>
      </c>
      <c r="G149" s="20">
        <v>6.36</v>
      </c>
      <c r="H149" s="20">
        <v>1.43</v>
      </c>
      <c r="I149" s="20">
        <v>1.8889199999999999</v>
      </c>
      <c r="J149" s="20">
        <v>2.3913600000000002</v>
      </c>
    </row>
    <row r="150" spans="1:10" x14ac:dyDescent="0.25">
      <c r="A150" s="3" t="s">
        <v>20</v>
      </c>
      <c r="B150" s="3" t="s">
        <v>21</v>
      </c>
      <c r="C150" s="4">
        <v>531</v>
      </c>
      <c r="D150" s="5">
        <v>42174</v>
      </c>
      <c r="E150" s="3" t="s">
        <v>10</v>
      </c>
      <c r="F150" s="4" t="s">
        <v>11</v>
      </c>
      <c r="G150" s="20">
        <v>5.43</v>
      </c>
      <c r="H150" s="20">
        <v>1.3</v>
      </c>
      <c r="I150" s="20">
        <v>1.6398599999999999</v>
      </c>
      <c r="J150" s="20">
        <v>2.0036700000000001</v>
      </c>
    </row>
    <row r="151" spans="1:10" x14ac:dyDescent="0.25">
      <c r="A151" s="3" t="s">
        <v>20</v>
      </c>
      <c r="B151" s="3" t="s">
        <v>21</v>
      </c>
      <c r="C151" s="4">
        <v>532</v>
      </c>
      <c r="D151" s="5">
        <v>42174</v>
      </c>
      <c r="E151" s="3" t="s">
        <v>10</v>
      </c>
      <c r="F151" s="4" t="s">
        <v>11</v>
      </c>
      <c r="G151" s="20">
        <v>4.55</v>
      </c>
      <c r="H151" s="20">
        <v>0.85</v>
      </c>
      <c r="I151" s="20">
        <v>1.1738999999999999</v>
      </c>
      <c r="J151" s="20">
        <v>1.9291999999999998</v>
      </c>
    </row>
    <row r="152" spans="1:10" x14ac:dyDescent="0.25">
      <c r="A152" s="3" t="s">
        <v>20</v>
      </c>
      <c r="B152" s="3" t="s">
        <v>21</v>
      </c>
      <c r="C152" s="4">
        <v>533</v>
      </c>
      <c r="D152" s="5">
        <v>42174</v>
      </c>
      <c r="E152" s="3" t="s">
        <v>10</v>
      </c>
      <c r="F152" s="4" t="s">
        <v>11</v>
      </c>
      <c r="G152" s="20">
        <v>3.53</v>
      </c>
      <c r="H152" s="20">
        <v>1.08</v>
      </c>
      <c r="I152" s="20">
        <v>0.68835000000000002</v>
      </c>
      <c r="J152" s="20">
        <v>1.5531999999999999</v>
      </c>
    </row>
    <row r="153" spans="1:10" x14ac:dyDescent="0.25">
      <c r="A153" s="3" t="s">
        <v>20</v>
      </c>
      <c r="B153" s="3" t="s">
        <v>21</v>
      </c>
      <c r="C153" s="4">
        <v>534</v>
      </c>
      <c r="D153" s="5">
        <v>42174</v>
      </c>
      <c r="E153" s="3" t="s">
        <v>10</v>
      </c>
      <c r="F153" s="4" t="s">
        <v>11</v>
      </c>
      <c r="G153" s="20">
        <v>4.45</v>
      </c>
      <c r="H153" s="20">
        <v>0.81</v>
      </c>
      <c r="I153" s="20">
        <v>1.1614500000000001</v>
      </c>
      <c r="J153" s="20">
        <v>2.0114000000000001</v>
      </c>
    </row>
    <row r="154" spans="1:10" x14ac:dyDescent="0.25">
      <c r="A154" s="3" t="s">
        <v>20</v>
      </c>
      <c r="B154" s="3" t="s">
        <v>21</v>
      </c>
      <c r="C154" s="4">
        <v>590</v>
      </c>
      <c r="D154" s="5">
        <v>42186</v>
      </c>
      <c r="E154" s="3" t="s">
        <v>7</v>
      </c>
      <c r="F154" s="4" t="s">
        <v>11</v>
      </c>
      <c r="G154" s="20">
        <v>5.56</v>
      </c>
      <c r="H154" s="20">
        <v>0.63</v>
      </c>
      <c r="I154" s="20">
        <v>1.44004</v>
      </c>
      <c r="J154" s="20">
        <v>2.4297200000000001</v>
      </c>
    </row>
    <row r="155" spans="1:10" x14ac:dyDescent="0.25">
      <c r="A155" s="3" t="s">
        <v>20</v>
      </c>
      <c r="B155" s="3" t="s">
        <v>21</v>
      </c>
      <c r="C155" s="4">
        <v>591</v>
      </c>
      <c r="D155" s="5">
        <v>42186</v>
      </c>
      <c r="E155" s="3" t="s">
        <v>10</v>
      </c>
      <c r="F155" s="4" t="s">
        <v>8</v>
      </c>
      <c r="G155" s="20">
        <v>4.74</v>
      </c>
      <c r="H155" s="20">
        <v>0.76</v>
      </c>
      <c r="I155" s="20">
        <v>0.93377999999999994</v>
      </c>
      <c r="J155" s="20">
        <v>2.6070000000000002</v>
      </c>
    </row>
    <row r="156" spans="1:10" x14ac:dyDescent="0.25">
      <c r="A156" s="3" t="s">
        <v>20</v>
      </c>
      <c r="B156" s="3" t="s">
        <v>21</v>
      </c>
      <c r="C156" s="4">
        <v>592</v>
      </c>
      <c r="D156" s="5">
        <v>42186</v>
      </c>
      <c r="E156" s="3" t="s">
        <v>10</v>
      </c>
      <c r="F156" s="4" t="s">
        <v>11</v>
      </c>
      <c r="G156" s="20">
        <v>6.59</v>
      </c>
      <c r="H156" s="20">
        <v>1.18</v>
      </c>
      <c r="I156" s="20">
        <v>1.7002200000000001</v>
      </c>
      <c r="J156" s="20">
        <v>2.7875699999999997</v>
      </c>
    </row>
    <row r="157" spans="1:10" x14ac:dyDescent="0.25">
      <c r="A157" s="3" t="s">
        <v>20</v>
      </c>
      <c r="B157" s="3" t="s">
        <v>21</v>
      </c>
      <c r="C157" s="4">
        <v>593</v>
      </c>
      <c r="D157" s="5">
        <v>42186</v>
      </c>
      <c r="E157" s="3" t="s">
        <v>10</v>
      </c>
      <c r="F157" s="4" t="s">
        <v>11</v>
      </c>
      <c r="G157" s="20">
        <v>6.39</v>
      </c>
      <c r="H157" s="20">
        <v>0.65</v>
      </c>
      <c r="I157" s="20">
        <v>2.0448</v>
      </c>
      <c r="J157" s="20">
        <v>2.6198999999999999</v>
      </c>
    </row>
    <row r="158" spans="1:10" x14ac:dyDescent="0.25">
      <c r="A158" s="3" t="s">
        <v>20</v>
      </c>
      <c r="B158" s="3" t="s">
        <v>21</v>
      </c>
      <c r="C158" s="4">
        <v>723</v>
      </c>
      <c r="D158" s="5">
        <v>42192</v>
      </c>
      <c r="E158" s="3" t="s">
        <v>7</v>
      </c>
      <c r="F158" s="4" t="s">
        <v>8</v>
      </c>
      <c r="G158" s="20">
        <v>4.7699999999999996</v>
      </c>
      <c r="H158" s="20">
        <v>0.45</v>
      </c>
      <c r="I158" s="20">
        <v>1.0160099999999999</v>
      </c>
      <c r="J158" s="20">
        <v>2.4088499999999997</v>
      </c>
    </row>
    <row r="159" spans="1:10" x14ac:dyDescent="0.25">
      <c r="A159" s="3" t="s">
        <v>20</v>
      </c>
      <c r="B159" s="3" t="s">
        <v>21</v>
      </c>
      <c r="C159" s="4">
        <v>724</v>
      </c>
      <c r="D159" s="5">
        <v>42192</v>
      </c>
      <c r="E159" s="3" t="s">
        <v>7</v>
      </c>
      <c r="F159" s="4" t="s">
        <v>11</v>
      </c>
      <c r="G159" s="20">
        <v>3.19</v>
      </c>
      <c r="H159" s="20">
        <v>0.5</v>
      </c>
      <c r="I159" s="20">
        <v>0.67627999999999999</v>
      </c>
      <c r="J159" s="20">
        <v>1.5024900000000001</v>
      </c>
    </row>
    <row r="160" spans="1:10" x14ac:dyDescent="0.25">
      <c r="A160" s="3" t="s">
        <v>20</v>
      </c>
      <c r="B160" s="3" t="s">
        <v>21</v>
      </c>
      <c r="C160" s="4">
        <v>725</v>
      </c>
      <c r="D160" s="5">
        <v>42192</v>
      </c>
      <c r="E160" s="3" t="s">
        <v>7</v>
      </c>
      <c r="F160" s="4" t="s">
        <v>11</v>
      </c>
      <c r="G160" s="20">
        <v>5.9</v>
      </c>
      <c r="H160" s="20">
        <v>0.75</v>
      </c>
      <c r="I160" s="20">
        <v>1.6756</v>
      </c>
      <c r="J160" s="20">
        <v>2.5547</v>
      </c>
    </row>
    <row r="161" spans="1:10" x14ac:dyDescent="0.25">
      <c r="A161" s="3" t="s">
        <v>20</v>
      </c>
      <c r="B161" s="3" t="s">
        <v>21</v>
      </c>
      <c r="C161" s="4">
        <v>726</v>
      </c>
      <c r="D161" s="5">
        <v>42192</v>
      </c>
      <c r="E161" s="3" t="s">
        <v>7</v>
      </c>
      <c r="F161" s="4" t="s">
        <v>11</v>
      </c>
      <c r="G161" s="20">
        <v>3.47</v>
      </c>
      <c r="H161" s="20">
        <v>0.38</v>
      </c>
      <c r="I161" s="20">
        <v>0.90914000000000006</v>
      </c>
      <c r="J161" s="20">
        <v>1.5788500000000001</v>
      </c>
    </row>
    <row r="162" spans="1:10" x14ac:dyDescent="0.25">
      <c r="A162" s="3" t="s">
        <v>20</v>
      </c>
      <c r="B162" s="3" t="s">
        <v>21</v>
      </c>
      <c r="C162" s="4">
        <v>727</v>
      </c>
      <c r="D162" s="5">
        <v>42192</v>
      </c>
      <c r="E162" s="3" t="s">
        <v>7</v>
      </c>
      <c r="F162" s="4" t="s">
        <v>8</v>
      </c>
      <c r="G162" s="20">
        <v>4.05</v>
      </c>
      <c r="H162" s="20">
        <v>0.76</v>
      </c>
      <c r="I162" s="20">
        <v>0.95984999999999987</v>
      </c>
      <c r="J162" s="20">
        <v>1.8022499999999999</v>
      </c>
    </row>
    <row r="163" spans="1:10" x14ac:dyDescent="0.25">
      <c r="A163" s="3" t="s">
        <v>20</v>
      </c>
      <c r="B163" s="3" t="s">
        <v>21</v>
      </c>
      <c r="C163" s="4">
        <v>728</v>
      </c>
      <c r="D163" s="5">
        <v>42192</v>
      </c>
      <c r="E163" s="3" t="s">
        <v>7</v>
      </c>
      <c r="F163" s="4" t="s">
        <v>11</v>
      </c>
      <c r="G163" s="20">
        <v>3.63</v>
      </c>
      <c r="H163" s="20">
        <v>1.04</v>
      </c>
      <c r="I163" s="20">
        <v>0.92927999999999999</v>
      </c>
      <c r="J163" s="20">
        <v>1.3322100000000001</v>
      </c>
    </row>
    <row r="164" spans="1:10" x14ac:dyDescent="0.25">
      <c r="A164" s="3" t="s">
        <v>20</v>
      </c>
      <c r="B164" s="3" t="s">
        <v>21</v>
      </c>
      <c r="C164" s="4">
        <v>729</v>
      </c>
      <c r="D164" s="5">
        <v>42192</v>
      </c>
      <c r="E164" s="3" t="s">
        <v>7</v>
      </c>
      <c r="F164" s="4" t="s">
        <v>11</v>
      </c>
      <c r="G164" s="20">
        <v>4.3099999999999996</v>
      </c>
      <c r="H164" s="20">
        <v>0.6</v>
      </c>
      <c r="I164" s="20">
        <v>1.0128499999999998</v>
      </c>
      <c r="J164" s="20">
        <v>2.0946599999999997</v>
      </c>
    </row>
    <row r="165" spans="1:10" x14ac:dyDescent="0.25">
      <c r="A165" s="3" t="s">
        <v>20</v>
      </c>
      <c r="B165" s="3" t="s">
        <v>21</v>
      </c>
      <c r="C165" s="4">
        <v>730</v>
      </c>
      <c r="D165" s="5">
        <v>42192</v>
      </c>
      <c r="E165" s="3" t="s">
        <v>10</v>
      </c>
      <c r="F165" s="4" t="s">
        <v>8</v>
      </c>
      <c r="G165" s="20">
        <v>4.74</v>
      </c>
      <c r="H165" s="20">
        <v>0.47</v>
      </c>
      <c r="I165" s="20">
        <v>1.2324000000000002</v>
      </c>
      <c r="J165" s="20">
        <v>2.2325400000000002</v>
      </c>
    </row>
    <row r="166" spans="1:10" x14ac:dyDescent="0.25">
      <c r="A166" s="3" t="s">
        <v>20</v>
      </c>
      <c r="B166" s="3" t="s">
        <v>21</v>
      </c>
      <c r="C166" s="4">
        <v>731</v>
      </c>
      <c r="D166" s="5">
        <v>42044</v>
      </c>
      <c r="E166" s="3" t="s">
        <v>10</v>
      </c>
      <c r="F166" s="4" t="s">
        <v>8</v>
      </c>
      <c r="G166" s="20">
        <v>4.12</v>
      </c>
      <c r="H166" s="20">
        <v>0.19</v>
      </c>
      <c r="I166" s="20">
        <v>1.41316</v>
      </c>
      <c r="J166" s="20">
        <v>1.74688</v>
      </c>
    </row>
    <row r="167" spans="1:10" x14ac:dyDescent="0.25">
      <c r="A167" s="3" t="s">
        <v>20</v>
      </c>
      <c r="B167" s="3" t="s">
        <v>21</v>
      </c>
      <c r="C167" s="4">
        <v>731</v>
      </c>
      <c r="D167" s="5">
        <v>42192</v>
      </c>
      <c r="E167" s="3" t="s">
        <v>10</v>
      </c>
      <c r="F167" s="4" t="s">
        <v>11</v>
      </c>
      <c r="G167" s="20">
        <v>3.57</v>
      </c>
      <c r="H167" s="20">
        <v>0.38</v>
      </c>
      <c r="I167" s="20">
        <v>0.91034999999999999</v>
      </c>
      <c r="J167" s="20">
        <v>1.7207400000000002</v>
      </c>
    </row>
    <row r="168" spans="1:10" x14ac:dyDescent="0.25">
      <c r="A168" s="3" t="s">
        <v>20</v>
      </c>
      <c r="B168" s="3" t="s">
        <v>21</v>
      </c>
      <c r="C168" s="4">
        <v>732</v>
      </c>
      <c r="D168" s="5">
        <v>42044</v>
      </c>
      <c r="E168" s="3" t="s">
        <v>10</v>
      </c>
      <c r="F168" s="4" t="s">
        <v>9</v>
      </c>
      <c r="G168" s="20">
        <v>1.6</v>
      </c>
      <c r="H168" s="20">
        <v>0.4</v>
      </c>
      <c r="I168" s="20">
        <v>0.192</v>
      </c>
      <c r="J168" s="20">
        <v>0.59040000000000004</v>
      </c>
    </row>
    <row r="169" spans="1:10" x14ac:dyDescent="0.25">
      <c r="A169" s="3" t="s">
        <v>20</v>
      </c>
      <c r="B169" s="3" t="s">
        <v>21</v>
      </c>
      <c r="C169" s="4">
        <v>732</v>
      </c>
      <c r="D169" s="5">
        <v>42192</v>
      </c>
      <c r="E169" s="3" t="s">
        <v>10</v>
      </c>
      <c r="F169" s="4" t="s">
        <v>11</v>
      </c>
      <c r="G169" s="20">
        <v>4.26</v>
      </c>
      <c r="H169" s="20">
        <v>0.83</v>
      </c>
      <c r="I169" s="20">
        <v>0.96275999999999995</v>
      </c>
      <c r="J169" s="20">
        <v>2.0490599999999999</v>
      </c>
    </row>
    <row r="170" spans="1:10" x14ac:dyDescent="0.25">
      <c r="A170" s="3" t="s">
        <v>20</v>
      </c>
      <c r="B170" s="3" t="s">
        <v>21</v>
      </c>
      <c r="C170" s="4">
        <v>733</v>
      </c>
      <c r="D170" s="5">
        <v>42192</v>
      </c>
      <c r="E170" s="3" t="s">
        <v>10</v>
      </c>
      <c r="F170" s="4" t="s">
        <v>11</v>
      </c>
      <c r="G170" s="20">
        <v>4.6500000000000004</v>
      </c>
      <c r="H170" s="20">
        <v>0.86</v>
      </c>
      <c r="I170" s="20">
        <v>0.67890000000000006</v>
      </c>
      <c r="J170" s="20">
        <v>2.5063500000000003</v>
      </c>
    </row>
    <row r="171" spans="1:10" x14ac:dyDescent="0.25">
      <c r="A171" s="3" t="s">
        <v>20</v>
      </c>
      <c r="B171" s="3" t="s">
        <v>21</v>
      </c>
      <c r="C171" s="4">
        <v>734</v>
      </c>
      <c r="D171" s="5">
        <v>42192</v>
      </c>
      <c r="E171" s="3" t="s">
        <v>10</v>
      </c>
      <c r="F171" s="4" t="s">
        <v>11</v>
      </c>
      <c r="G171" s="20">
        <v>3.43</v>
      </c>
      <c r="H171" s="20">
        <v>0.54</v>
      </c>
      <c r="I171" s="20">
        <v>0.81634000000000007</v>
      </c>
      <c r="J171" s="20">
        <v>1.5263500000000001</v>
      </c>
    </row>
    <row r="172" spans="1:10" x14ac:dyDescent="0.25">
      <c r="A172" s="3" t="s">
        <v>20</v>
      </c>
      <c r="B172" s="3" t="s">
        <v>21</v>
      </c>
      <c r="C172" s="4">
        <v>750</v>
      </c>
      <c r="D172" s="5">
        <v>42213</v>
      </c>
      <c r="E172" s="3" t="s">
        <v>7</v>
      </c>
      <c r="F172" s="4" t="s">
        <v>8</v>
      </c>
      <c r="G172" s="20">
        <v>4.3499999999999996</v>
      </c>
      <c r="H172" s="20">
        <v>0.37</v>
      </c>
      <c r="I172" s="20">
        <v>0.96569999999999989</v>
      </c>
      <c r="J172" s="20">
        <v>2.1967499999999998</v>
      </c>
    </row>
    <row r="173" spans="1:10" x14ac:dyDescent="0.25">
      <c r="A173" s="3" t="s">
        <v>20</v>
      </c>
      <c r="B173" s="3" t="s">
        <v>21</v>
      </c>
      <c r="C173" s="4">
        <v>751</v>
      </c>
      <c r="D173" s="5">
        <v>42213</v>
      </c>
      <c r="E173" s="3" t="s">
        <v>7</v>
      </c>
      <c r="F173" s="4" t="s">
        <v>11</v>
      </c>
      <c r="G173" s="20">
        <v>6.46</v>
      </c>
      <c r="H173" s="20">
        <v>0.99</v>
      </c>
      <c r="I173" s="20">
        <v>1.59562</v>
      </c>
      <c r="J173" s="20">
        <v>2.8940799999999998</v>
      </c>
    </row>
    <row r="174" spans="1:10" x14ac:dyDescent="0.25">
      <c r="A174" s="3" t="s">
        <v>20</v>
      </c>
      <c r="B174" s="3" t="s">
        <v>21</v>
      </c>
      <c r="C174" s="4">
        <v>752</v>
      </c>
      <c r="D174" s="5">
        <v>42213</v>
      </c>
      <c r="E174" s="3" t="s">
        <v>7</v>
      </c>
      <c r="F174" s="4" t="s">
        <v>9</v>
      </c>
      <c r="G174" s="20">
        <v>2.0499999999999998</v>
      </c>
      <c r="H174" s="20">
        <v>0.72</v>
      </c>
      <c r="I174" s="20">
        <v>0.32799999999999996</v>
      </c>
      <c r="J174" s="20">
        <v>0.82409999999999994</v>
      </c>
    </row>
    <row r="175" spans="1:10" x14ac:dyDescent="0.25">
      <c r="A175" s="3" t="s">
        <v>20</v>
      </c>
      <c r="B175" s="3" t="s">
        <v>21</v>
      </c>
      <c r="C175" s="4">
        <v>753</v>
      </c>
      <c r="D175" s="5">
        <v>42213</v>
      </c>
      <c r="E175" s="3" t="s">
        <v>10</v>
      </c>
      <c r="F175" s="4" t="s">
        <v>8</v>
      </c>
      <c r="G175" s="20">
        <v>5.32</v>
      </c>
      <c r="H175" s="20">
        <v>0.9</v>
      </c>
      <c r="I175" s="20">
        <v>1.4896000000000003</v>
      </c>
      <c r="J175" s="20">
        <v>2.2663199999999999</v>
      </c>
    </row>
    <row r="176" spans="1:10" x14ac:dyDescent="0.25">
      <c r="A176" s="3" t="s">
        <v>20</v>
      </c>
      <c r="B176" s="3" t="s">
        <v>21</v>
      </c>
      <c r="C176" s="4">
        <v>754</v>
      </c>
      <c r="D176" s="5">
        <v>42213</v>
      </c>
      <c r="E176" s="3" t="s">
        <v>10</v>
      </c>
      <c r="F176" s="4" t="s">
        <v>11</v>
      </c>
      <c r="G176" s="20">
        <v>4.43</v>
      </c>
      <c r="H176" s="20">
        <v>0.89</v>
      </c>
      <c r="I176" s="20">
        <v>1.17395</v>
      </c>
      <c r="J176" s="20">
        <v>1.93591</v>
      </c>
    </row>
    <row r="177" spans="1:10" x14ac:dyDescent="0.25">
      <c r="A177" s="3" t="s">
        <v>20</v>
      </c>
      <c r="B177" s="3" t="s">
        <v>21</v>
      </c>
      <c r="C177" s="4">
        <v>756</v>
      </c>
      <c r="D177" s="5">
        <v>42213</v>
      </c>
      <c r="E177" s="3" t="s">
        <v>10</v>
      </c>
      <c r="F177" s="4" t="s">
        <v>9</v>
      </c>
      <c r="G177" s="20">
        <v>2.16</v>
      </c>
      <c r="H177" s="20">
        <v>0.43</v>
      </c>
      <c r="I177" s="20">
        <v>0.33480000000000004</v>
      </c>
      <c r="J177" s="20">
        <v>1.1102400000000001</v>
      </c>
    </row>
    <row r="178" spans="1:10" x14ac:dyDescent="0.25">
      <c r="A178" s="3" t="s">
        <v>20</v>
      </c>
      <c r="B178" s="3" t="s">
        <v>21</v>
      </c>
      <c r="C178" s="4">
        <v>795</v>
      </c>
      <c r="D178" s="5">
        <v>42044</v>
      </c>
      <c r="E178" s="3" t="s">
        <v>7</v>
      </c>
      <c r="F178" s="4" t="s">
        <v>8</v>
      </c>
      <c r="G178" s="20">
        <v>5.84</v>
      </c>
      <c r="H178" s="20">
        <v>0.37</v>
      </c>
      <c r="I178" s="20">
        <v>1.7227999999999999</v>
      </c>
      <c r="J178" s="20">
        <v>2.5170399999999997</v>
      </c>
    </row>
    <row r="179" spans="1:10" x14ac:dyDescent="0.25">
      <c r="A179" s="3" t="s">
        <v>20</v>
      </c>
      <c r="B179" s="3" t="s">
        <v>21</v>
      </c>
      <c r="C179" s="4">
        <v>796</v>
      </c>
      <c r="D179" s="5">
        <v>42044</v>
      </c>
      <c r="E179" s="3" t="s">
        <v>7</v>
      </c>
      <c r="F179" s="4" t="s">
        <v>8</v>
      </c>
      <c r="G179" s="20">
        <v>4.88</v>
      </c>
      <c r="H179" s="20">
        <v>0.34</v>
      </c>
      <c r="I179" s="20">
        <v>1.3127199999999999</v>
      </c>
      <c r="J179" s="20">
        <v>2.1716000000000002</v>
      </c>
    </row>
    <row r="180" spans="1:10" x14ac:dyDescent="0.25">
      <c r="A180" s="3" t="s">
        <v>20</v>
      </c>
      <c r="B180" s="3" t="s">
        <v>21</v>
      </c>
      <c r="C180" s="4">
        <v>797</v>
      </c>
      <c r="D180" s="5">
        <v>42044</v>
      </c>
      <c r="E180" s="3" t="s">
        <v>7</v>
      </c>
      <c r="F180" s="4" t="s">
        <v>9</v>
      </c>
      <c r="G180" s="20">
        <v>1.65</v>
      </c>
      <c r="H180" s="20">
        <v>0.13</v>
      </c>
      <c r="I180" s="20">
        <v>0.21284999999999998</v>
      </c>
      <c r="J180" s="20">
        <v>0.61380000000000001</v>
      </c>
    </row>
    <row r="181" spans="1:10" x14ac:dyDescent="0.25">
      <c r="A181" s="3" t="s">
        <v>20</v>
      </c>
      <c r="B181" s="3" t="s">
        <v>21</v>
      </c>
      <c r="C181" s="4">
        <v>798</v>
      </c>
      <c r="D181" s="5">
        <v>42044</v>
      </c>
      <c r="E181" s="3" t="s">
        <v>7</v>
      </c>
      <c r="F181" s="4" t="s">
        <v>9</v>
      </c>
      <c r="G181" s="20">
        <v>1.47</v>
      </c>
      <c r="H181" s="20">
        <v>0.24</v>
      </c>
      <c r="I181" s="20">
        <v>0.32634000000000002</v>
      </c>
      <c r="J181" s="20">
        <v>0.51449999999999996</v>
      </c>
    </row>
    <row r="182" spans="1:10" x14ac:dyDescent="0.25">
      <c r="A182" s="3" t="s">
        <v>20</v>
      </c>
      <c r="B182" s="3" t="s">
        <v>21</v>
      </c>
      <c r="C182" s="4">
        <v>799</v>
      </c>
      <c r="D182" s="5">
        <v>42044</v>
      </c>
      <c r="E182" s="3" t="s">
        <v>10</v>
      </c>
      <c r="F182" s="4" t="s">
        <v>8</v>
      </c>
      <c r="G182" s="20">
        <v>4.21</v>
      </c>
      <c r="H182" s="20">
        <v>0.44</v>
      </c>
      <c r="I182" s="20">
        <v>0.90515000000000001</v>
      </c>
      <c r="J182" s="20">
        <v>2.0629</v>
      </c>
    </row>
    <row r="183" spans="1:10" x14ac:dyDescent="0.25">
      <c r="A183" s="3" t="s">
        <v>22</v>
      </c>
      <c r="B183" s="3" t="s">
        <v>23</v>
      </c>
      <c r="C183" s="4">
        <v>101</v>
      </c>
      <c r="D183" s="5">
        <v>42088</v>
      </c>
      <c r="E183" s="3" t="s">
        <v>10</v>
      </c>
      <c r="F183" s="4" t="s">
        <v>8</v>
      </c>
      <c r="G183" s="20">
        <v>6.58</v>
      </c>
      <c r="H183" s="20">
        <v>0.37</v>
      </c>
      <c r="I183" s="20">
        <v>3.2965800000000001</v>
      </c>
      <c r="J183" s="20">
        <v>1.29626</v>
      </c>
    </row>
    <row r="184" spans="1:10" x14ac:dyDescent="0.25">
      <c r="A184" s="3" t="s">
        <v>22</v>
      </c>
      <c r="B184" s="3" t="s">
        <v>23</v>
      </c>
      <c r="C184" s="4">
        <v>102</v>
      </c>
      <c r="D184" s="5">
        <v>42088</v>
      </c>
      <c r="E184" s="3" t="s">
        <v>10</v>
      </c>
      <c r="F184" s="4" t="s">
        <v>9</v>
      </c>
      <c r="G184" s="20">
        <v>2.0099999999999998</v>
      </c>
      <c r="H184" s="20">
        <v>0.28999999999999998</v>
      </c>
      <c r="I184" s="20">
        <v>0.60701999999999989</v>
      </c>
      <c r="J184" s="20">
        <v>0.31355999999999995</v>
      </c>
    </row>
    <row r="185" spans="1:10" x14ac:dyDescent="0.25">
      <c r="A185" s="3" t="s">
        <v>22</v>
      </c>
      <c r="B185" s="3" t="s">
        <v>23</v>
      </c>
      <c r="C185" s="4">
        <v>103</v>
      </c>
      <c r="D185" s="5">
        <v>42088</v>
      </c>
      <c r="E185" s="3" t="s">
        <v>7</v>
      </c>
      <c r="F185" s="4" t="s">
        <v>8</v>
      </c>
      <c r="G185" s="20">
        <v>5.6</v>
      </c>
      <c r="H185" s="20">
        <v>0.59</v>
      </c>
      <c r="I185" s="20">
        <v>3.1696</v>
      </c>
      <c r="J185" s="20">
        <v>0.67759999999999998</v>
      </c>
    </row>
    <row r="186" spans="1:10" x14ac:dyDescent="0.25">
      <c r="A186" s="3" t="s">
        <v>22</v>
      </c>
      <c r="B186" s="3" t="s">
        <v>23</v>
      </c>
      <c r="C186" s="4">
        <v>104</v>
      </c>
      <c r="D186" s="5">
        <v>42088</v>
      </c>
      <c r="E186" s="3" t="s">
        <v>7</v>
      </c>
      <c r="F186" s="4" t="s">
        <v>9</v>
      </c>
      <c r="G186" s="20">
        <v>1.94</v>
      </c>
      <c r="H186" s="20">
        <v>0.1</v>
      </c>
      <c r="I186" s="20">
        <v>0.77211999999999992</v>
      </c>
      <c r="J186" s="20">
        <v>0.26190000000000002</v>
      </c>
    </row>
    <row r="187" spans="1:10" x14ac:dyDescent="0.25">
      <c r="A187" s="3" t="s">
        <v>22</v>
      </c>
      <c r="B187" s="3" t="s">
        <v>23</v>
      </c>
      <c r="C187" s="4">
        <v>225</v>
      </c>
      <c r="D187" s="5">
        <v>42132</v>
      </c>
      <c r="E187" s="3" t="s">
        <v>7</v>
      </c>
      <c r="F187" s="4" t="s">
        <v>8</v>
      </c>
      <c r="G187" s="20">
        <v>4.68</v>
      </c>
      <c r="H187" s="20">
        <v>0.8</v>
      </c>
      <c r="I187" s="20">
        <v>2.5225200000000001</v>
      </c>
      <c r="J187" s="20">
        <v>0.81899999999999995</v>
      </c>
    </row>
    <row r="188" spans="1:10" x14ac:dyDescent="0.25">
      <c r="A188" s="3" t="s">
        <v>22</v>
      </c>
      <c r="B188" s="3" t="s">
        <v>23</v>
      </c>
      <c r="C188" s="4">
        <v>226</v>
      </c>
      <c r="D188" s="5">
        <v>42132</v>
      </c>
      <c r="E188" s="3" t="s">
        <v>7</v>
      </c>
      <c r="F188" s="4" t="s">
        <v>9</v>
      </c>
      <c r="G188" s="20">
        <v>0.88</v>
      </c>
      <c r="H188" s="20">
        <v>0.3</v>
      </c>
      <c r="I188" s="20">
        <v>0.2772</v>
      </c>
      <c r="J188" s="20">
        <v>0.16544</v>
      </c>
    </row>
    <row r="189" spans="1:10" x14ac:dyDescent="0.25">
      <c r="A189" s="3" t="s">
        <v>22</v>
      </c>
      <c r="B189" s="3" t="s">
        <v>23</v>
      </c>
      <c r="C189" s="4">
        <v>227</v>
      </c>
      <c r="D189" s="5">
        <v>42132</v>
      </c>
      <c r="E189" s="3" t="s">
        <v>10</v>
      </c>
      <c r="F189" s="4" t="s">
        <v>8</v>
      </c>
      <c r="G189" s="20">
        <v>6.02</v>
      </c>
      <c r="H189" s="20">
        <v>1.1399999999999999</v>
      </c>
      <c r="I189" s="20">
        <v>3.08826</v>
      </c>
      <c r="J189" s="20">
        <v>1.43276</v>
      </c>
    </row>
    <row r="190" spans="1:10" x14ac:dyDescent="0.25">
      <c r="A190" s="3" t="s">
        <v>22</v>
      </c>
      <c r="B190" s="3" t="s">
        <v>23</v>
      </c>
      <c r="C190" s="4">
        <v>228</v>
      </c>
      <c r="D190" s="5">
        <v>42132</v>
      </c>
      <c r="E190" s="3" t="s">
        <v>10</v>
      </c>
      <c r="F190" s="4" t="s">
        <v>9</v>
      </c>
      <c r="G190" s="20">
        <v>1.2</v>
      </c>
      <c r="H190" s="20">
        <v>0.57999999999999996</v>
      </c>
      <c r="I190" s="20">
        <v>0.36719999999999997</v>
      </c>
      <c r="J190" s="20">
        <v>0.30119999999999997</v>
      </c>
    </row>
    <row r="191" spans="1:10" x14ac:dyDescent="0.25">
      <c r="A191" s="3" t="s">
        <v>22</v>
      </c>
      <c r="B191" s="3" t="s">
        <v>23</v>
      </c>
      <c r="C191" s="4">
        <v>260</v>
      </c>
      <c r="D191" s="5">
        <v>42145</v>
      </c>
      <c r="E191" s="3" t="s">
        <v>7</v>
      </c>
      <c r="F191" s="4" t="s">
        <v>8</v>
      </c>
      <c r="G191" s="20">
        <v>3.95</v>
      </c>
      <c r="H191" s="20">
        <v>0.35</v>
      </c>
      <c r="I191" s="20">
        <v>1.7064000000000004</v>
      </c>
      <c r="J191" s="20">
        <v>0.78210000000000002</v>
      </c>
    </row>
    <row r="192" spans="1:10" x14ac:dyDescent="0.25">
      <c r="A192" s="3" t="s">
        <v>22</v>
      </c>
      <c r="B192" s="3" t="s">
        <v>23</v>
      </c>
      <c r="C192" s="4">
        <v>261</v>
      </c>
      <c r="D192" s="5">
        <v>42145</v>
      </c>
      <c r="E192" s="3" t="s">
        <v>7</v>
      </c>
      <c r="F192" s="4" t="s">
        <v>9</v>
      </c>
      <c r="G192" s="20">
        <v>1.36</v>
      </c>
      <c r="H192" s="20">
        <v>0.18</v>
      </c>
      <c r="I192" s="20">
        <v>0.41072000000000003</v>
      </c>
      <c r="J192" s="20">
        <v>0.20264000000000001</v>
      </c>
    </row>
    <row r="193" spans="1:10" x14ac:dyDescent="0.25">
      <c r="A193" s="3" t="s">
        <v>22</v>
      </c>
      <c r="B193" s="3" t="s">
        <v>23</v>
      </c>
      <c r="C193" s="4">
        <v>262</v>
      </c>
      <c r="D193" s="5">
        <v>42145</v>
      </c>
      <c r="E193" s="3" t="s">
        <v>7</v>
      </c>
      <c r="F193" s="4" t="s">
        <v>9</v>
      </c>
      <c r="G193" s="20">
        <v>1.49</v>
      </c>
      <c r="H193" s="20">
        <v>0.17</v>
      </c>
      <c r="I193" s="20">
        <v>0.57216</v>
      </c>
      <c r="J193" s="20">
        <v>0.28608</v>
      </c>
    </row>
    <row r="194" spans="1:10" x14ac:dyDescent="0.25">
      <c r="A194" s="3" t="s">
        <v>22</v>
      </c>
      <c r="B194" s="3" t="s">
        <v>23</v>
      </c>
      <c r="C194" s="4">
        <v>263</v>
      </c>
      <c r="D194" s="5">
        <v>42145</v>
      </c>
      <c r="E194" s="3" t="s">
        <v>10</v>
      </c>
      <c r="F194" s="4" t="s">
        <v>8</v>
      </c>
      <c r="G194" s="20">
        <v>4.95</v>
      </c>
      <c r="H194" s="20">
        <v>0.48</v>
      </c>
      <c r="I194" s="20">
        <v>2.4651000000000001</v>
      </c>
      <c r="J194" s="20">
        <v>1.1434500000000001</v>
      </c>
    </row>
    <row r="195" spans="1:10" x14ac:dyDescent="0.25">
      <c r="A195" s="3" t="s">
        <v>22</v>
      </c>
      <c r="B195" s="3" t="s">
        <v>23</v>
      </c>
      <c r="C195" s="4">
        <v>264</v>
      </c>
      <c r="D195" s="5">
        <v>42145</v>
      </c>
      <c r="E195" s="3" t="s">
        <v>10</v>
      </c>
      <c r="F195" s="4" t="s">
        <v>9</v>
      </c>
      <c r="G195" s="20">
        <v>1.54</v>
      </c>
      <c r="H195" s="20">
        <v>0.7</v>
      </c>
      <c r="I195" s="20">
        <v>0.58057999999999998</v>
      </c>
      <c r="J195" s="20">
        <v>0.23716000000000001</v>
      </c>
    </row>
    <row r="196" spans="1:10" x14ac:dyDescent="0.25">
      <c r="A196" s="3" t="s">
        <v>22</v>
      </c>
      <c r="B196" s="3" t="s">
        <v>23</v>
      </c>
      <c r="C196" s="4">
        <v>265</v>
      </c>
      <c r="D196" s="5">
        <v>42145</v>
      </c>
      <c r="E196" s="3" t="s">
        <v>10</v>
      </c>
      <c r="F196" s="4" t="s">
        <v>9</v>
      </c>
      <c r="G196" s="20">
        <v>1.83</v>
      </c>
      <c r="H196" s="20">
        <v>1.31</v>
      </c>
      <c r="I196" s="20">
        <v>0.57645000000000002</v>
      </c>
      <c r="J196" s="20">
        <v>0.24705000000000002</v>
      </c>
    </row>
    <row r="197" spans="1:10" x14ac:dyDescent="0.25">
      <c r="A197" s="3" t="s">
        <v>22</v>
      </c>
      <c r="B197" s="3" t="s">
        <v>23</v>
      </c>
      <c r="C197" s="4">
        <v>266</v>
      </c>
      <c r="D197" s="5">
        <v>42145</v>
      </c>
      <c r="E197" s="3" t="s">
        <v>10</v>
      </c>
      <c r="F197" s="4" t="s">
        <v>9</v>
      </c>
      <c r="G197" s="20">
        <v>1.64</v>
      </c>
      <c r="H197" s="20">
        <v>0.4</v>
      </c>
      <c r="I197" s="20">
        <v>0.71995999999999993</v>
      </c>
      <c r="J197" s="20">
        <v>0.32144</v>
      </c>
    </row>
    <row r="198" spans="1:10" x14ac:dyDescent="0.25">
      <c r="A198" s="3" t="s">
        <v>22</v>
      </c>
      <c r="B198" s="3" t="s">
        <v>23</v>
      </c>
      <c r="C198" s="4">
        <v>275</v>
      </c>
      <c r="D198" s="5">
        <v>42151</v>
      </c>
      <c r="E198" s="3" t="s">
        <v>7</v>
      </c>
      <c r="F198" s="4" t="s">
        <v>8</v>
      </c>
      <c r="G198" s="20">
        <v>6.8</v>
      </c>
      <c r="H198" s="20">
        <v>0.68</v>
      </c>
      <c r="I198" s="20">
        <v>3.5428000000000002</v>
      </c>
      <c r="J198" s="20">
        <v>1.768</v>
      </c>
    </row>
    <row r="199" spans="1:10" x14ac:dyDescent="0.25">
      <c r="A199" s="3" t="s">
        <v>22</v>
      </c>
      <c r="B199" s="3" t="s">
        <v>23</v>
      </c>
      <c r="C199" s="4">
        <v>277</v>
      </c>
      <c r="D199" s="5">
        <v>42151</v>
      </c>
      <c r="E199" s="3" t="s">
        <v>7</v>
      </c>
      <c r="F199" s="4" t="s">
        <v>9</v>
      </c>
      <c r="G199" s="20">
        <v>1.1100000000000001</v>
      </c>
      <c r="H199" s="20">
        <v>0.32</v>
      </c>
      <c r="I199" s="20">
        <v>0.39072000000000007</v>
      </c>
      <c r="J199" s="20">
        <v>0.21201000000000003</v>
      </c>
    </row>
    <row r="200" spans="1:10" x14ac:dyDescent="0.25">
      <c r="A200" s="3" t="s">
        <v>22</v>
      </c>
      <c r="B200" s="3" t="s">
        <v>23</v>
      </c>
      <c r="C200" s="4">
        <v>278</v>
      </c>
      <c r="D200" s="5">
        <v>42151</v>
      </c>
      <c r="E200" s="3" t="s">
        <v>7</v>
      </c>
      <c r="F200" s="4" t="s">
        <v>9</v>
      </c>
      <c r="G200" s="20">
        <v>0.8</v>
      </c>
      <c r="H200" s="20">
        <v>0.26</v>
      </c>
      <c r="I200" s="20">
        <v>0.27760000000000001</v>
      </c>
      <c r="J200" s="20">
        <v>0.1416</v>
      </c>
    </row>
    <row r="201" spans="1:10" x14ac:dyDescent="0.25">
      <c r="A201" s="3" t="s">
        <v>22</v>
      </c>
      <c r="B201" s="3" t="s">
        <v>23</v>
      </c>
      <c r="C201" s="4">
        <v>352</v>
      </c>
      <c r="D201" s="5">
        <v>42157</v>
      </c>
      <c r="E201" s="3" t="s">
        <v>7</v>
      </c>
      <c r="F201" s="4" t="s">
        <v>8</v>
      </c>
      <c r="G201" s="20">
        <v>3.01</v>
      </c>
      <c r="H201" s="20">
        <v>0.65</v>
      </c>
      <c r="I201" s="20">
        <v>1.2280799999999998</v>
      </c>
      <c r="J201" s="20">
        <v>0.68326999999999993</v>
      </c>
    </row>
    <row r="202" spans="1:10" x14ac:dyDescent="0.25">
      <c r="A202" s="3" t="s">
        <v>22</v>
      </c>
      <c r="B202" s="3" t="s">
        <v>23</v>
      </c>
      <c r="C202" s="4">
        <v>353</v>
      </c>
      <c r="D202" s="5">
        <v>42157</v>
      </c>
      <c r="E202" s="3" t="s">
        <v>7</v>
      </c>
      <c r="F202" s="4" t="s">
        <v>11</v>
      </c>
      <c r="G202" s="20">
        <v>2.39</v>
      </c>
      <c r="H202" s="20">
        <v>0.51</v>
      </c>
      <c r="I202" s="20">
        <v>0.79348000000000007</v>
      </c>
      <c r="J202" s="20">
        <v>0.5688200000000001</v>
      </c>
    </row>
    <row r="203" spans="1:10" x14ac:dyDescent="0.25">
      <c r="A203" s="3" t="s">
        <v>22</v>
      </c>
      <c r="B203" s="3" t="s">
        <v>23</v>
      </c>
      <c r="C203" s="4">
        <v>354</v>
      </c>
      <c r="D203" s="5">
        <v>42157</v>
      </c>
      <c r="E203" s="3" t="s">
        <v>10</v>
      </c>
      <c r="F203" s="4" t="s">
        <v>8</v>
      </c>
      <c r="G203" s="20">
        <v>3.33</v>
      </c>
      <c r="H203" s="20">
        <v>0.83</v>
      </c>
      <c r="I203" s="20">
        <v>1.32867</v>
      </c>
      <c r="J203" s="20">
        <v>0.79586999999999997</v>
      </c>
    </row>
    <row r="204" spans="1:10" x14ac:dyDescent="0.25">
      <c r="A204" s="3" t="s">
        <v>22</v>
      </c>
      <c r="B204" s="3" t="s">
        <v>23</v>
      </c>
      <c r="C204" s="4">
        <v>355</v>
      </c>
      <c r="D204" s="5">
        <v>42157</v>
      </c>
      <c r="E204" s="3" t="s">
        <v>10</v>
      </c>
      <c r="F204" s="4" t="s">
        <v>8</v>
      </c>
      <c r="G204" s="20">
        <v>3.48</v>
      </c>
      <c r="H204" s="20">
        <v>0.95</v>
      </c>
      <c r="I204" s="20">
        <v>1.33632</v>
      </c>
      <c r="J204" s="20">
        <v>1.0057199999999999</v>
      </c>
    </row>
    <row r="205" spans="1:10" x14ac:dyDescent="0.25">
      <c r="A205" s="3" t="s">
        <v>22</v>
      </c>
      <c r="B205" s="3" t="s">
        <v>23</v>
      </c>
      <c r="C205" s="4">
        <v>356</v>
      </c>
      <c r="D205" s="5">
        <v>42157</v>
      </c>
      <c r="E205" s="3" t="s">
        <v>10</v>
      </c>
      <c r="F205" s="4" t="s">
        <v>11</v>
      </c>
      <c r="G205" s="20">
        <v>4.59</v>
      </c>
      <c r="H205" s="20">
        <v>0.59</v>
      </c>
      <c r="I205" s="20">
        <v>2.40516</v>
      </c>
      <c r="J205" s="20">
        <v>1.0648799999999998</v>
      </c>
    </row>
    <row r="206" spans="1:10" x14ac:dyDescent="0.25">
      <c r="A206" s="3" t="s">
        <v>22</v>
      </c>
      <c r="B206" s="3" t="s">
        <v>23</v>
      </c>
      <c r="C206" s="4">
        <v>357</v>
      </c>
      <c r="D206" s="5">
        <v>42157</v>
      </c>
      <c r="E206" s="3" t="s">
        <v>10</v>
      </c>
      <c r="F206" s="4" t="s">
        <v>11</v>
      </c>
      <c r="G206" s="20">
        <v>3.17</v>
      </c>
      <c r="H206" s="20">
        <v>0.45</v>
      </c>
      <c r="I206" s="20">
        <v>1.4138200000000001</v>
      </c>
      <c r="J206" s="20">
        <v>0.89711000000000007</v>
      </c>
    </row>
    <row r="207" spans="1:10" x14ac:dyDescent="0.25">
      <c r="A207" s="3" t="s">
        <v>22</v>
      </c>
      <c r="B207" s="3" t="s">
        <v>23</v>
      </c>
      <c r="C207" s="4">
        <v>358</v>
      </c>
      <c r="D207" s="5">
        <v>42157</v>
      </c>
      <c r="E207" s="3" t="s">
        <v>10</v>
      </c>
      <c r="F207" s="4" t="s">
        <v>11</v>
      </c>
      <c r="G207" s="20">
        <v>5.17</v>
      </c>
      <c r="H207" s="20">
        <v>1.9</v>
      </c>
      <c r="I207" s="20">
        <v>1.9335800000000001</v>
      </c>
      <c r="J207" s="20">
        <v>1.35971</v>
      </c>
    </row>
    <row r="208" spans="1:10" x14ac:dyDescent="0.25">
      <c r="A208" s="3" t="s">
        <v>22</v>
      </c>
      <c r="B208" s="3" t="s">
        <v>23</v>
      </c>
      <c r="C208" s="4">
        <v>359</v>
      </c>
      <c r="D208" s="5">
        <v>42157</v>
      </c>
      <c r="E208" s="3" t="s">
        <v>10</v>
      </c>
      <c r="F208" s="4" t="s">
        <v>11</v>
      </c>
      <c r="G208" s="20">
        <v>5.96</v>
      </c>
      <c r="H208" s="20">
        <v>0.74</v>
      </c>
      <c r="I208" s="20">
        <v>2.7118000000000002</v>
      </c>
      <c r="J208" s="20">
        <v>1.5853600000000001</v>
      </c>
    </row>
    <row r="209" spans="1:10" x14ac:dyDescent="0.25">
      <c r="A209" s="3" t="s">
        <v>22</v>
      </c>
      <c r="B209" s="3" t="s">
        <v>23</v>
      </c>
      <c r="C209" s="4">
        <v>551</v>
      </c>
      <c r="D209" s="5">
        <v>42178</v>
      </c>
      <c r="E209" s="3" t="s">
        <v>10</v>
      </c>
      <c r="F209" s="4" t="s">
        <v>8</v>
      </c>
      <c r="G209" s="20">
        <v>6.86</v>
      </c>
      <c r="H209" s="20">
        <v>1.27</v>
      </c>
      <c r="I209" s="20">
        <v>3.9239200000000007</v>
      </c>
      <c r="J209" s="20">
        <v>1.2691000000000001</v>
      </c>
    </row>
    <row r="210" spans="1:10" x14ac:dyDescent="0.25">
      <c r="A210" s="3" t="s">
        <v>22</v>
      </c>
      <c r="B210" s="3" t="s">
        <v>23</v>
      </c>
      <c r="C210" s="4">
        <v>552</v>
      </c>
      <c r="D210" s="5">
        <v>42178</v>
      </c>
      <c r="E210" s="3" t="s">
        <v>10</v>
      </c>
      <c r="F210" s="4" t="s">
        <v>11</v>
      </c>
      <c r="G210" s="20">
        <v>5.0599999999999996</v>
      </c>
      <c r="H210" s="20">
        <v>0.83</v>
      </c>
      <c r="I210" s="20">
        <v>3.0005799999999998</v>
      </c>
      <c r="J210" s="20">
        <v>0.92091999999999985</v>
      </c>
    </row>
    <row r="211" spans="1:10" x14ac:dyDescent="0.25">
      <c r="A211" s="3" t="s">
        <v>22</v>
      </c>
      <c r="B211" s="3" t="s">
        <v>23</v>
      </c>
      <c r="C211" s="4">
        <v>553</v>
      </c>
      <c r="D211" s="5">
        <v>42178</v>
      </c>
      <c r="E211" s="3" t="s">
        <v>7</v>
      </c>
      <c r="F211" s="4" t="s">
        <v>11</v>
      </c>
      <c r="G211" s="20">
        <v>3.22</v>
      </c>
      <c r="H211" s="20">
        <v>1.1399999999999999</v>
      </c>
      <c r="I211" s="20">
        <v>1.5745800000000001</v>
      </c>
      <c r="J211" s="20">
        <v>0.57316000000000011</v>
      </c>
    </row>
    <row r="212" spans="1:10" x14ac:dyDescent="0.25">
      <c r="A212" s="3" t="s">
        <v>22</v>
      </c>
      <c r="B212" s="3" t="s">
        <v>23</v>
      </c>
      <c r="C212" s="4">
        <v>755</v>
      </c>
      <c r="D212" s="5">
        <v>42213</v>
      </c>
      <c r="E212" s="3" t="s">
        <v>7</v>
      </c>
      <c r="F212" s="4" t="s">
        <v>8</v>
      </c>
      <c r="G212" s="20">
        <v>2.83</v>
      </c>
      <c r="H212" s="20">
        <v>0.76</v>
      </c>
      <c r="I212" s="20">
        <v>1.37538</v>
      </c>
      <c r="J212" s="20">
        <v>0.53486999999999996</v>
      </c>
    </row>
    <row r="213" spans="1:10" x14ac:dyDescent="0.25">
      <c r="A213" s="3" t="s">
        <v>22</v>
      </c>
      <c r="B213" s="3" t="s">
        <v>23</v>
      </c>
      <c r="C213" s="4">
        <v>758</v>
      </c>
      <c r="D213" s="5">
        <v>42213</v>
      </c>
      <c r="E213" s="3" t="s">
        <v>7</v>
      </c>
      <c r="F213" s="4" t="s">
        <v>11</v>
      </c>
      <c r="G213" s="20">
        <v>3.65</v>
      </c>
      <c r="H213" s="20">
        <v>1.3</v>
      </c>
      <c r="I213" s="20">
        <v>1.55125</v>
      </c>
      <c r="J213" s="20">
        <v>0.63145000000000007</v>
      </c>
    </row>
    <row r="214" spans="1:10" x14ac:dyDescent="0.25">
      <c r="A214" s="3" t="s">
        <v>22</v>
      </c>
      <c r="B214" s="3" t="s">
        <v>23</v>
      </c>
      <c r="C214" s="4">
        <v>764</v>
      </c>
      <c r="D214" s="5">
        <v>42003</v>
      </c>
      <c r="E214" s="8" t="s">
        <v>10</v>
      </c>
      <c r="F214" s="4" t="s">
        <v>8</v>
      </c>
      <c r="G214" s="20">
        <v>4.5199999999999996</v>
      </c>
      <c r="H214" s="20">
        <v>0.38</v>
      </c>
      <c r="I214" s="20">
        <v>2.0475599999999998</v>
      </c>
      <c r="J214" s="20">
        <v>0.93563999999999992</v>
      </c>
    </row>
    <row r="215" spans="1:10" x14ac:dyDescent="0.25">
      <c r="A215" s="3" t="s">
        <v>22</v>
      </c>
      <c r="B215" s="3" t="s">
        <v>23</v>
      </c>
      <c r="C215" s="4">
        <v>765</v>
      </c>
      <c r="D215" s="5">
        <v>42003</v>
      </c>
      <c r="E215" s="8" t="s">
        <v>10</v>
      </c>
      <c r="F215" s="4" t="s">
        <v>8</v>
      </c>
      <c r="G215" s="23">
        <v>4.37</v>
      </c>
      <c r="H215" s="23">
        <v>0.3</v>
      </c>
      <c r="I215" s="20">
        <v>1.8878400000000002</v>
      </c>
      <c r="J215" s="20">
        <v>0.83467000000000002</v>
      </c>
    </row>
    <row r="216" spans="1:10" x14ac:dyDescent="0.25">
      <c r="A216" s="3" t="s">
        <v>24</v>
      </c>
      <c r="B216" s="3" t="s">
        <v>25</v>
      </c>
      <c r="C216" s="4">
        <v>197</v>
      </c>
      <c r="D216" s="5">
        <v>42123</v>
      </c>
      <c r="E216" s="3" t="s">
        <v>10</v>
      </c>
      <c r="F216" s="4" t="s">
        <v>8</v>
      </c>
      <c r="G216" s="20">
        <v>3.49</v>
      </c>
      <c r="H216" s="20">
        <v>2</v>
      </c>
      <c r="I216" s="20">
        <v>0.80619000000000007</v>
      </c>
      <c r="J216" s="20">
        <v>1.02257</v>
      </c>
    </row>
    <row r="217" spans="1:10" x14ac:dyDescent="0.25">
      <c r="A217" s="3" t="s">
        <v>24</v>
      </c>
      <c r="B217" s="3" t="s">
        <v>25</v>
      </c>
      <c r="C217" s="4">
        <v>198</v>
      </c>
      <c r="D217" s="5">
        <v>42123</v>
      </c>
      <c r="E217" s="3" t="s">
        <v>10</v>
      </c>
      <c r="F217" s="4" t="s">
        <v>9</v>
      </c>
      <c r="G217" s="20">
        <v>0.99</v>
      </c>
      <c r="H217" s="20">
        <v>1.02</v>
      </c>
      <c r="I217" s="20">
        <v>8.6526000000000006E-2</v>
      </c>
      <c r="J217" s="20">
        <v>0.23165999999999998</v>
      </c>
    </row>
    <row r="218" spans="1:10" x14ac:dyDescent="0.25">
      <c r="A218" s="3" t="s">
        <v>24</v>
      </c>
      <c r="B218" s="3" t="s">
        <v>25</v>
      </c>
      <c r="C218" s="4">
        <v>199</v>
      </c>
      <c r="D218" s="5">
        <v>42123</v>
      </c>
      <c r="E218" s="3" t="s">
        <v>7</v>
      </c>
      <c r="F218" s="4" t="s">
        <v>8</v>
      </c>
      <c r="G218" s="20">
        <v>2.9</v>
      </c>
      <c r="H218" s="20">
        <v>1.02</v>
      </c>
      <c r="I218" s="20">
        <v>0.92799999999999994</v>
      </c>
      <c r="J218" s="20">
        <v>0.66700000000000004</v>
      </c>
    </row>
    <row r="219" spans="1:10" x14ac:dyDescent="0.25">
      <c r="A219" s="3" t="s">
        <v>24</v>
      </c>
      <c r="B219" s="3" t="s">
        <v>25</v>
      </c>
      <c r="C219" s="4">
        <v>200</v>
      </c>
      <c r="D219" s="5">
        <v>42123</v>
      </c>
      <c r="E219" s="3" t="s">
        <v>7</v>
      </c>
      <c r="F219" s="4" t="s">
        <v>8</v>
      </c>
      <c r="G219" s="20">
        <v>3.22</v>
      </c>
      <c r="H219" s="20">
        <v>1.84</v>
      </c>
      <c r="I219" s="20">
        <v>0.83398000000000005</v>
      </c>
      <c r="J219" s="20">
        <v>0.66332000000000013</v>
      </c>
    </row>
    <row r="220" spans="1:10" x14ac:dyDescent="0.25">
      <c r="A220" s="3" t="s">
        <v>24</v>
      </c>
      <c r="B220" s="3" t="s">
        <v>25</v>
      </c>
      <c r="C220" s="4">
        <v>201</v>
      </c>
      <c r="D220" s="5">
        <v>42123</v>
      </c>
      <c r="E220" s="3" t="s">
        <v>7</v>
      </c>
      <c r="F220" s="4" t="s">
        <v>9</v>
      </c>
      <c r="G220" s="20">
        <v>1.2</v>
      </c>
      <c r="H220" s="20">
        <v>1.51</v>
      </c>
      <c r="I220" s="20">
        <v>0.12119999999999999</v>
      </c>
      <c r="J220" s="20">
        <v>0.24</v>
      </c>
    </row>
    <row r="221" spans="1:10" x14ac:dyDescent="0.25">
      <c r="A221" s="3" t="s">
        <v>24</v>
      </c>
      <c r="B221" s="3" t="s">
        <v>25</v>
      </c>
      <c r="C221" s="4">
        <v>202</v>
      </c>
      <c r="D221" s="5">
        <v>42123</v>
      </c>
      <c r="E221" s="3" t="s">
        <v>7</v>
      </c>
      <c r="F221" s="4" t="s">
        <v>9</v>
      </c>
      <c r="G221" s="20">
        <v>1.2</v>
      </c>
      <c r="H221" s="20">
        <v>0.99</v>
      </c>
      <c r="I221" s="20">
        <v>0.13319999999999999</v>
      </c>
      <c r="J221" s="20">
        <v>0.24479999999999996</v>
      </c>
    </row>
    <row r="222" spans="1:10" x14ac:dyDescent="0.25">
      <c r="A222" s="3" t="s">
        <v>24</v>
      </c>
      <c r="B222" s="3" t="s">
        <v>25</v>
      </c>
      <c r="C222" s="4">
        <v>203</v>
      </c>
      <c r="D222" s="5">
        <v>42123</v>
      </c>
      <c r="E222" s="3" t="s">
        <v>7</v>
      </c>
      <c r="F222" s="4" t="s">
        <v>9</v>
      </c>
      <c r="G222" s="20">
        <v>0.95</v>
      </c>
      <c r="H222" s="20">
        <v>1.01</v>
      </c>
      <c r="I222" s="20">
        <v>6.8019999999999997E-2</v>
      </c>
      <c r="J222" s="20">
        <v>0.16720000000000002</v>
      </c>
    </row>
    <row r="223" spans="1:10" x14ac:dyDescent="0.25">
      <c r="A223" s="3" t="s">
        <v>24</v>
      </c>
      <c r="B223" s="3" t="s">
        <v>25</v>
      </c>
      <c r="C223" s="4">
        <v>229</v>
      </c>
      <c r="D223" s="5">
        <v>42132</v>
      </c>
      <c r="E223" s="3" t="s">
        <v>7</v>
      </c>
      <c r="F223" s="4" t="s">
        <v>8</v>
      </c>
      <c r="G223" s="20">
        <v>3.69</v>
      </c>
      <c r="H223" s="20">
        <v>1.81</v>
      </c>
      <c r="I223" s="20">
        <v>1.15866</v>
      </c>
      <c r="J223" s="20">
        <v>0.74907000000000001</v>
      </c>
    </row>
    <row r="224" spans="1:10" x14ac:dyDescent="0.25">
      <c r="A224" s="3" t="s">
        <v>24</v>
      </c>
      <c r="B224" s="3" t="s">
        <v>25</v>
      </c>
      <c r="C224" s="4">
        <v>230</v>
      </c>
      <c r="D224" s="5">
        <v>42132</v>
      </c>
      <c r="E224" s="3" t="s">
        <v>7</v>
      </c>
      <c r="F224" s="4" t="s">
        <v>9</v>
      </c>
      <c r="G224" s="20">
        <v>0.95</v>
      </c>
      <c r="H224" s="20">
        <v>0.64</v>
      </c>
      <c r="I224" s="20">
        <v>0.1406</v>
      </c>
      <c r="J224" s="20">
        <v>0.1691</v>
      </c>
    </row>
    <row r="225" spans="1:10" x14ac:dyDescent="0.25">
      <c r="A225" s="3" t="s">
        <v>24</v>
      </c>
      <c r="B225" s="3" t="s">
        <v>25</v>
      </c>
      <c r="C225" s="4">
        <v>237</v>
      </c>
      <c r="D225" s="5">
        <v>42136</v>
      </c>
      <c r="E225" s="3" t="s">
        <v>10</v>
      </c>
      <c r="F225" s="4" t="s">
        <v>8</v>
      </c>
      <c r="G225" s="20">
        <v>2.57</v>
      </c>
      <c r="H225" s="20">
        <v>2.0299999999999998</v>
      </c>
      <c r="I225" s="20">
        <v>0.38806999999999997</v>
      </c>
      <c r="J225" s="20">
        <v>0.73758999999999986</v>
      </c>
    </row>
    <row r="226" spans="1:10" x14ac:dyDescent="0.25">
      <c r="A226" s="3" t="s">
        <v>24</v>
      </c>
      <c r="B226" s="3" t="s">
        <v>25</v>
      </c>
      <c r="C226" s="4">
        <v>238</v>
      </c>
      <c r="D226" s="5">
        <v>42136</v>
      </c>
      <c r="E226" s="3" t="s">
        <v>10</v>
      </c>
      <c r="F226" s="4" t="s">
        <v>8</v>
      </c>
      <c r="G226" s="20">
        <v>1.53</v>
      </c>
      <c r="H226" s="20">
        <v>1.1299999999999999</v>
      </c>
      <c r="I226" s="20">
        <v>0.27693000000000006</v>
      </c>
      <c r="J226" s="20">
        <v>0.34884000000000004</v>
      </c>
    </row>
    <row r="227" spans="1:10" x14ac:dyDescent="0.25">
      <c r="A227" s="3" t="s">
        <v>24</v>
      </c>
      <c r="B227" s="3" t="s">
        <v>25</v>
      </c>
      <c r="C227" s="4">
        <v>239</v>
      </c>
      <c r="D227" s="5">
        <v>42136</v>
      </c>
      <c r="E227" s="3" t="s">
        <v>10</v>
      </c>
      <c r="F227" s="4" t="s">
        <v>8</v>
      </c>
      <c r="G227" s="20">
        <v>2.19</v>
      </c>
      <c r="H227" s="20">
        <v>1.9</v>
      </c>
      <c r="I227" s="20">
        <v>0.45114000000000004</v>
      </c>
      <c r="J227" s="20">
        <v>0.41171999999999997</v>
      </c>
    </row>
    <row r="228" spans="1:10" x14ac:dyDescent="0.25">
      <c r="A228" s="3" t="s">
        <v>24</v>
      </c>
      <c r="B228" s="3" t="s">
        <v>25</v>
      </c>
      <c r="C228" s="4">
        <v>240</v>
      </c>
      <c r="D228" s="5">
        <v>42136</v>
      </c>
      <c r="E228" s="3" t="s">
        <v>10</v>
      </c>
      <c r="F228" s="4" t="s">
        <v>9</v>
      </c>
      <c r="G228" s="20">
        <v>1.02</v>
      </c>
      <c r="H228" s="20">
        <v>0.59</v>
      </c>
      <c r="I228" s="20">
        <v>0.17646000000000001</v>
      </c>
      <c r="J228" s="20">
        <v>0.26213999999999998</v>
      </c>
    </row>
    <row r="229" spans="1:10" x14ac:dyDescent="0.25">
      <c r="A229" s="3" t="s">
        <v>24</v>
      </c>
      <c r="B229" s="3" t="s">
        <v>25</v>
      </c>
      <c r="C229" s="4">
        <v>241</v>
      </c>
      <c r="D229" s="5">
        <v>42136</v>
      </c>
      <c r="E229" s="3" t="s">
        <v>10</v>
      </c>
      <c r="F229" s="4" t="s">
        <v>9</v>
      </c>
      <c r="G229" s="20">
        <v>1.1100000000000001</v>
      </c>
      <c r="H229" s="20">
        <v>0.86</v>
      </c>
      <c r="I229" s="20">
        <v>0.15873000000000004</v>
      </c>
      <c r="J229" s="20">
        <v>0.25974000000000003</v>
      </c>
    </row>
    <row r="230" spans="1:10" x14ac:dyDescent="0.25">
      <c r="A230" s="3" t="s">
        <v>24</v>
      </c>
      <c r="B230" s="3" t="s">
        <v>25</v>
      </c>
      <c r="C230" s="4">
        <v>360</v>
      </c>
      <c r="D230" s="5">
        <v>42157</v>
      </c>
      <c r="E230" s="3" t="s">
        <v>7</v>
      </c>
      <c r="F230" s="4" t="s">
        <v>8</v>
      </c>
      <c r="G230" s="20">
        <v>3.58</v>
      </c>
      <c r="H230" s="20">
        <v>1.33</v>
      </c>
      <c r="I230" s="20">
        <v>1.04894</v>
      </c>
      <c r="J230" s="20">
        <v>0.80908000000000002</v>
      </c>
    </row>
    <row r="231" spans="1:10" x14ac:dyDescent="0.25">
      <c r="A231" s="3" t="s">
        <v>24</v>
      </c>
      <c r="B231" s="3" t="s">
        <v>25</v>
      </c>
      <c r="C231" s="4">
        <v>361</v>
      </c>
      <c r="D231" s="5">
        <v>42157</v>
      </c>
      <c r="E231" s="3" t="s">
        <v>7</v>
      </c>
      <c r="F231" s="4" t="s">
        <v>11</v>
      </c>
      <c r="G231" s="20">
        <v>2.83</v>
      </c>
      <c r="H231" s="20">
        <v>1.22</v>
      </c>
      <c r="I231" s="20">
        <v>0.68769000000000002</v>
      </c>
      <c r="J231" s="20">
        <v>0.59713000000000005</v>
      </c>
    </row>
    <row r="232" spans="1:10" x14ac:dyDescent="0.25">
      <c r="A232" s="3" t="s">
        <v>24</v>
      </c>
      <c r="B232" s="3" t="s">
        <v>25</v>
      </c>
      <c r="C232" s="4">
        <v>362</v>
      </c>
      <c r="D232" s="5">
        <v>42157</v>
      </c>
      <c r="E232" s="3" t="s">
        <v>7</v>
      </c>
      <c r="F232" s="4" t="s">
        <v>11</v>
      </c>
      <c r="G232" s="20">
        <v>3.13</v>
      </c>
      <c r="H232" s="20">
        <v>1.48</v>
      </c>
      <c r="I232" s="20">
        <v>0.92960999999999994</v>
      </c>
      <c r="J232" s="20">
        <v>0.6573</v>
      </c>
    </row>
    <row r="233" spans="1:10" x14ac:dyDescent="0.25">
      <c r="A233" s="3" t="s">
        <v>24</v>
      </c>
      <c r="B233" s="3" t="s">
        <v>25</v>
      </c>
      <c r="C233" s="4">
        <v>363</v>
      </c>
      <c r="D233" s="5">
        <v>42157</v>
      </c>
      <c r="E233" s="3" t="s">
        <v>7</v>
      </c>
      <c r="F233" s="4" t="s">
        <v>11</v>
      </c>
      <c r="G233" s="20">
        <v>3.01</v>
      </c>
      <c r="H233" s="20">
        <v>1.71</v>
      </c>
      <c r="I233" s="20">
        <v>0.69831999999999994</v>
      </c>
      <c r="J233" s="20">
        <v>0.65918999999999983</v>
      </c>
    </row>
    <row r="234" spans="1:10" x14ac:dyDescent="0.25">
      <c r="A234" s="3" t="s">
        <v>24</v>
      </c>
      <c r="B234" s="3" t="s">
        <v>25</v>
      </c>
      <c r="C234" s="4">
        <v>364</v>
      </c>
      <c r="D234" s="5">
        <v>42160</v>
      </c>
      <c r="E234" s="3" t="s">
        <v>10</v>
      </c>
      <c r="F234" s="4" t="s">
        <v>8</v>
      </c>
      <c r="G234" s="20">
        <v>2.5099999999999998</v>
      </c>
      <c r="H234" s="20">
        <v>1.5</v>
      </c>
      <c r="I234" s="20">
        <v>0.41665999999999997</v>
      </c>
      <c r="J234" s="20">
        <v>0.5270999999999999</v>
      </c>
    </row>
    <row r="235" spans="1:10" x14ac:dyDescent="0.25">
      <c r="A235" s="3" t="s">
        <v>24</v>
      </c>
      <c r="B235" s="3" t="s">
        <v>25</v>
      </c>
      <c r="C235" s="4">
        <v>365</v>
      </c>
      <c r="D235" s="5">
        <v>42160</v>
      </c>
      <c r="E235" s="3" t="s">
        <v>10</v>
      </c>
      <c r="F235" s="4" t="s">
        <v>11</v>
      </c>
      <c r="G235" s="20">
        <v>2.1</v>
      </c>
      <c r="H235" s="20">
        <v>1.04</v>
      </c>
      <c r="I235" s="20">
        <v>0.42419999999999997</v>
      </c>
      <c r="J235" s="20">
        <v>0.40739999999999998</v>
      </c>
    </row>
    <row r="236" spans="1:10" x14ac:dyDescent="0.25">
      <c r="A236" s="3" t="s">
        <v>24</v>
      </c>
      <c r="B236" s="3" t="s">
        <v>25</v>
      </c>
      <c r="C236" s="4">
        <v>366</v>
      </c>
      <c r="D236" s="5">
        <v>42160</v>
      </c>
      <c r="E236" s="3" t="s">
        <v>10</v>
      </c>
      <c r="F236" s="4" t="s">
        <v>11</v>
      </c>
      <c r="G236" s="20">
        <v>3.23</v>
      </c>
      <c r="H236" s="20">
        <v>1.7</v>
      </c>
      <c r="I236" s="20">
        <v>0.6718400000000001</v>
      </c>
      <c r="J236" s="20">
        <v>0.7752</v>
      </c>
    </row>
    <row r="237" spans="1:10" x14ac:dyDescent="0.25">
      <c r="A237" s="3" t="s">
        <v>24</v>
      </c>
      <c r="B237" s="3" t="s">
        <v>25</v>
      </c>
      <c r="C237" s="4">
        <v>367</v>
      </c>
      <c r="D237" s="5">
        <v>42160</v>
      </c>
      <c r="E237" s="3" t="s">
        <v>10</v>
      </c>
      <c r="F237" s="4" t="s">
        <v>11</v>
      </c>
      <c r="G237" s="20">
        <v>1.94</v>
      </c>
      <c r="H237" s="20">
        <v>1.53</v>
      </c>
      <c r="I237" s="20">
        <v>0.38217999999999996</v>
      </c>
      <c r="J237" s="20">
        <v>0.34532000000000002</v>
      </c>
    </row>
    <row r="238" spans="1:10" x14ac:dyDescent="0.25">
      <c r="A238" s="3" t="s">
        <v>24</v>
      </c>
      <c r="B238" s="3" t="s">
        <v>25</v>
      </c>
      <c r="C238" s="4">
        <v>368</v>
      </c>
      <c r="D238" s="5">
        <v>42160</v>
      </c>
      <c r="E238" s="3" t="s">
        <v>10</v>
      </c>
      <c r="F238" s="4" t="s">
        <v>9</v>
      </c>
      <c r="G238" s="20">
        <v>1.33</v>
      </c>
      <c r="H238" s="20">
        <v>1.1399999999999999</v>
      </c>
      <c r="I238" s="20">
        <v>0.17423000000000002</v>
      </c>
      <c r="J238" s="20">
        <v>0.32053000000000004</v>
      </c>
    </row>
    <row r="239" spans="1:10" x14ac:dyDescent="0.25">
      <c r="A239" s="3" t="s">
        <v>24</v>
      </c>
      <c r="B239" s="3" t="s">
        <v>25</v>
      </c>
      <c r="C239" s="4">
        <v>369</v>
      </c>
      <c r="D239" s="5">
        <v>42160</v>
      </c>
      <c r="E239" s="3" t="s">
        <v>10</v>
      </c>
      <c r="F239" s="4" t="s">
        <v>9</v>
      </c>
      <c r="G239" s="20">
        <v>0.75</v>
      </c>
      <c r="H239" s="20">
        <v>0.79</v>
      </c>
      <c r="I239" s="20">
        <v>0.11849999999999999</v>
      </c>
      <c r="J239" s="20">
        <v>0.15525</v>
      </c>
    </row>
    <row r="240" spans="1:10" x14ac:dyDescent="0.25">
      <c r="A240" s="3" t="s">
        <v>24</v>
      </c>
      <c r="B240" s="3" t="s">
        <v>25</v>
      </c>
      <c r="C240" s="4">
        <v>386</v>
      </c>
      <c r="D240" s="5">
        <v>41976</v>
      </c>
      <c r="E240" s="8" t="s">
        <v>7</v>
      </c>
      <c r="F240" s="4" t="s">
        <v>8</v>
      </c>
      <c r="G240" s="20">
        <v>2.71</v>
      </c>
      <c r="H240" s="20">
        <v>1.3</v>
      </c>
      <c r="I240" s="20">
        <v>0.77506000000000008</v>
      </c>
      <c r="J240" s="20">
        <v>0.44443999999999995</v>
      </c>
    </row>
    <row r="241" spans="1:10" x14ac:dyDescent="0.25">
      <c r="A241" s="3" t="s">
        <v>24</v>
      </c>
      <c r="B241" s="3" t="s">
        <v>25</v>
      </c>
      <c r="C241" s="4">
        <v>387</v>
      </c>
      <c r="D241" s="5">
        <v>41976</v>
      </c>
      <c r="E241" s="8" t="s">
        <v>7</v>
      </c>
      <c r="F241" s="4" t="s">
        <v>8</v>
      </c>
      <c r="G241" s="20">
        <v>3.79</v>
      </c>
      <c r="H241" s="20">
        <v>1.1000000000000001</v>
      </c>
      <c r="I241" s="20">
        <v>1.20143</v>
      </c>
      <c r="J241" s="20">
        <v>0.66325000000000001</v>
      </c>
    </row>
    <row r="242" spans="1:10" x14ac:dyDescent="0.25">
      <c r="A242" s="3" t="s">
        <v>24</v>
      </c>
      <c r="B242" s="3" t="s">
        <v>25</v>
      </c>
      <c r="C242" s="4">
        <v>554</v>
      </c>
      <c r="D242" s="5">
        <v>42178</v>
      </c>
      <c r="E242" s="3" t="s">
        <v>7</v>
      </c>
      <c r="F242" s="4" t="s">
        <v>8</v>
      </c>
      <c r="G242" s="20">
        <v>3.32</v>
      </c>
      <c r="H242" s="20">
        <v>2.1</v>
      </c>
      <c r="I242" s="20">
        <v>1.0458000000000001</v>
      </c>
      <c r="J242" s="20">
        <v>0.56107999999999991</v>
      </c>
    </row>
    <row r="243" spans="1:10" x14ac:dyDescent="0.25">
      <c r="A243" s="3" t="s">
        <v>24</v>
      </c>
      <c r="B243" s="3" t="s">
        <v>25</v>
      </c>
      <c r="C243" s="4">
        <v>555</v>
      </c>
      <c r="D243" s="5">
        <v>42178</v>
      </c>
      <c r="E243" s="3" t="s">
        <v>7</v>
      </c>
      <c r="F243" s="4" t="s">
        <v>8</v>
      </c>
      <c r="G243" s="20">
        <v>4.3</v>
      </c>
      <c r="H243" s="20">
        <v>1.86</v>
      </c>
      <c r="I243" s="20">
        <v>1.5694999999999999</v>
      </c>
      <c r="J243" s="20">
        <v>0.89869999999999994</v>
      </c>
    </row>
    <row r="244" spans="1:10" x14ac:dyDescent="0.25">
      <c r="A244" s="3" t="s">
        <v>24</v>
      </c>
      <c r="B244" s="3" t="s">
        <v>25</v>
      </c>
      <c r="C244" s="4">
        <v>556</v>
      </c>
      <c r="D244" s="5">
        <v>42178</v>
      </c>
      <c r="E244" s="3" t="s">
        <v>7</v>
      </c>
      <c r="F244" s="4" t="s">
        <v>11</v>
      </c>
      <c r="G244" s="20">
        <v>4.84</v>
      </c>
      <c r="H244" s="20">
        <v>2.63</v>
      </c>
      <c r="I244" s="20">
        <v>1.6262400000000001</v>
      </c>
      <c r="J244" s="20">
        <v>0.94379999999999997</v>
      </c>
    </row>
    <row r="245" spans="1:10" x14ac:dyDescent="0.25">
      <c r="A245" s="3" t="s">
        <v>24</v>
      </c>
      <c r="B245" s="3" t="s">
        <v>25</v>
      </c>
      <c r="C245" s="4">
        <v>557</v>
      </c>
      <c r="D245" s="5">
        <v>42178</v>
      </c>
      <c r="E245" s="3" t="s">
        <v>7</v>
      </c>
      <c r="F245" s="4" t="s">
        <v>11</v>
      </c>
      <c r="G245" s="20">
        <v>2.66</v>
      </c>
      <c r="H245" s="20">
        <v>1.53</v>
      </c>
      <c r="I245" s="20">
        <v>0.78469999999999995</v>
      </c>
      <c r="J245" s="20">
        <v>0.53466000000000002</v>
      </c>
    </row>
    <row r="246" spans="1:10" x14ac:dyDescent="0.25">
      <c r="A246" s="3" t="s">
        <v>24</v>
      </c>
      <c r="B246" s="3" t="s">
        <v>25</v>
      </c>
      <c r="C246" s="4">
        <v>558</v>
      </c>
      <c r="D246" s="5">
        <v>42178</v>
      </c>
      <c r="E246" s="3" t="s">
        <v>7</v>
      </c>
      <c r="F246" s="4" t="s">
        <v>11</v>
      </c>
      <c r="G246" s="20">
        <v>4.43</v>
      </c>
      <c r="H246" s="20">
        <v>2.65</v>
      </c>
      <c r="I246" s="20">
        <v>1.6789699999999999</v>
      </c>
      <c r="J246" s="20">
        <v>0.80625999999999998</v>
      </c>
    </row>
    <row r="247" spans="1:10" x14ac:dyDescent="0.25">
      <c r="A247" s="3" t="s">
        <v>24</v>
      </c>
      <c r="B247" s="3" t="s">
        <v>25</v>
      </c>
      <c r="C247" s="4">
        <v>559</v>
      </c>
      <c r="D247" s="5">
        <v>42178</v>
      </c>
      <c r="E247" s="3" t="s">
        <v>7</v>
      </c>
      <c r="F247" s="4" t="s">
        <v>9</v>
      </c>
      <c r="G247" s="20">
        <v>1.02</v>
      </c>
      <c r="H247" s="20">
        <v>1.88</v>
      </c>
      <c r="I247" s="20">
        <v>8.3639999999999992E-2</v>
      </c>
      <c r="J247" s="20">
        <v>0.17033999999999999</v>
      </c>
    </row>
    <row r="248" spans="1:10" x14ac:dyDescent="0.25">
      <c r="A248" s="3" t="s">
        <v>24</v>
      </c>
      <c r="B248" s="3" t="s">
        <v>25</v>
      </c>
      <c r="C248" s="4">
        <v>560</v>
      </c>
      <c r="D248" s="5">
        <v>42178</v>
      </c>
      <c r="E248" s="3" t="s">
        <v>7</v>
      </c>
      <c r="F248" s="4" t="s">
        <v>9</v>
      </c>
      <c r="G248" s="20">
        <v>0.93</v>
      </c>
      <c r="H248" s="20">
        <v>1.76</v>
      </c>
      <c r="I248" s="20">
        <v>9.5790000000000014E-2</v>
      </c>
      <c r="J248" s="20">
        <v>0.12741</v>
      </c>
    </row>
    <row r="249" spans="1:10" x14ac:dyDescent="0.25">
      <c r="A249" s="3" t="s">
        <v>24</v>
      </c>
      <c r="B249" s="3" t="s">
        <v>25</v>
      </c>
      <c r="C249" s="4">
        <v>561</v>
      </c>
      <c r="D249" s="5">
        <v>42178</v>
      </c>
      <c r="E249" s="3" t="s">
        <v>10</v>
      </c>
      <c r="F249" s="4" t="s">
        <v>8</v>
      </c>
      <c r="G249" s="20">
        <v>0.98</v>
      </c>
      <c r="H249" s="20">
        <v>1.25</v>
      </c>
      <c r="I249" s="20">
        <v>0.13328000000000001</v>
      </c>
      <c r="J249" s="20">
        <v>0.16464000000000001</v>
      </c>
    </row>
    <row r="250" spans="1:10" x14ac:dyDescent="0.25">
      <c r="A250" s="3" t="s">
        <v>24</v>
      </c>
      <c r="B250" s="3" t="s">
        <v>25</v>
      </c>
      <c r="C250" s="4">
        <v>562</v>
      </c>
      <c r="D250" s="5">
        <v>42178</v>
      </c>
      <c r="E250" s="3" t="s">
        <v>10</v>
      </c>
      <c r="F250" s="4" t="s">
        <v>11</v>
      </c>
      <c r="G250" s="20">
        <v>1.21</v>
      </c>
      <c r="H250" s="20">
        <v>1.97</v>
      </c>
      <c r="I250" s="20">
        <v>0.16456000000000001</v>
      </c>
      <c r="J250" s="20">
        <v>0.20933000000000002</v>
      </c>
    </row>
    <row r="251" spans="1:10" x14ac:dyDescent="0.25">
      <c r="A251" s="3" t="s">
        <v>24</v>
      </c>
      <c r="B251" s="3" t="s">
        <v>25</v>
      </c>
      <c r="C251" s="4">
        <v>563</v>
      </c>
      <c r="D251" s="5">
        <v>42178</v>
      </c>
      <c r="E251" s="3" t="s">
        <v>10</v>
      </c>
      <c r="F251" s="4" t="s">
        <v>11</v>
      </c>
      <c r="G251" s="20">
        <v>1.5</v>
      </c>
      <c r="H251" s="20">
        <v>0.96</v>
      </c>
      <c r="I251" s="20">
        <v>0.30449999999999999</v>
      </c>
      <c r="J251" s="20">
        <v>0.40200000000000002</v>
      </c>
    </row>
    <row r="252" spans="1:10" x14ac:dyDescent="0.25">
      <c r="A252" s="3" t="s">
        <v>24</v>
      </c>
      <c r="B252" s="3" t="s">
        <v>25</v>
      </c>
      <c r="C252" s="4">
        <v>564</v>
      </c>
      <c r="D252" s="5">
        <v>42178</v>
      </c>
      <c r="E252" s="3" t="s">
        <v>10</v>
      </c>
      <c r="F252" s="4" t="s">
        <v>11</v>
      </c>
      <c r="G252" s="20">
        <v>1.56</v>
      </c>
      <c r="H252" s="20">
        <v>0.93</v>
      </c>
      <c r="I252" s="20">
        <v>0.41028000000000003</v>
      </c>
      <c r="J252" s="20">
        <v>0.32916000000000006</v>
      </c>
    </row>
    <row r="253" spans="1:10" x14ac:dyDescent="0.25">
      <c r="A253" s="3" t="s">
        <v>24</v>
      </c>
      <c r="B253" s="3" t="s">
        <v>25</v>
      </c>
      <c r="C253" s="4">
        <v>735</v>
      </c>
      <c r="D253" s="5">
        <v>42192</v>
      </c>
      <c r="E253" s="3" t="s">
        <v>7</v>
      </c>
      <c r="F253" s="4" t="s">
        <v>8</v>
      </c>
      <c r="G253" s="20">
        <v>2.71</v>
      </c>
      <c r="H253" s="20">
        <v>1.5</v>
      </c>
      <c r="I253" s="20">
        <v>0.60975000000000001</v>
      </c>
      <c r="J253" s="20">
        <v>0.52844999999999998</v>
      </c>
    </row>
    <row r="254" spans="1:10" x14ac:dyDescent="0.25">
      <c r="A254" s="3" t="s">
        <v>24</v>
      </c>
      <c r="B254" s="3" t="s">
        <v>25</v>
      </c>
      <c r="C254" s="4">
        <v>736</v>
      </c>
      <c r="D254" s="5">
        <v>42192</v>
      </c>
      <c r="E254" s="3" t="s">
        <v>7</v>
      </c>
      <c r="F254" s="4" t="s">
        <v>11</v>
      </c>
      <c r="G254" s="20">
        <v>2.92</v>
      </c>
      <c r="H254" s="20">
        <v>2.79</v>
      </c>
      <c r="I254" s="20">
        <v>0.55479999999999996</v>
      </c>
      <c r="J254" s="20">
        <v>0.51683999999999997</v>
      </c>
    </row>
    <row r="255" spans="1:10" x14ac:dyDescent="0.25">
      <c r="A255" s="3" t="s">
        <v>24</v>
      </c>
      <c r="B255" s="3" t="s">
        <v>25</v>
      </c>
      <c r="C255" s="4">
        <v>738</v>
      </c>
      <c r="D255" s="5">
        <v>42199</v>
      </c>
      <c r="E255" s="3" t="s">
        <v>7</v>
      </c>
      <c r="F255" s="4" t="s">
        <v>9</v>
      </c>
      <c r="G255" s="20">
        <v>0.92</v>
      </c>
      <c r="H255" s="20">
        <v>0.9</v>
      </c>
      <c r="I255" s="20">
        <v>0.11132</v>
      </c>
      <c r="J255" s="20">
        <v>0.16467999999999999</v>
      </c>
    </row>
    <row r="256" spans="1:10" x14ac:dyDescent="0.25">
      <c r="A256" s="3" t="s">
        <v>24</v>
      </c>
      <c r="B256" s="3" t="s">
        <v>25</v>
      </c>
      <c r="C256" s="4">
        <v>757</v>
      </c>
      <c r="D256" s="5">
        <v>42213</v>
      </c>
      <c r="E256" s="3" t="s">
        <v>10</v>
      </c>
      <c r="F256" s="4" t="s">
        <v>8</v>
      </c>
      <c r="G256" s="20">
        <v>1.72</v>
      </c>
      <c r="H256" s="20">
        <v>0.98</v>
      </c>
      <c r="I256" s="20">
        <v>0.32679999999999998</v>
      </c>
      <c r="J256" s="20">
        <v>0.51944000000000001</v>
      </c>
    </row>
    <row r="257" spans="1:10" x14ac:dyDescent="0.25">
      <c r="A257" s="3" t="s">
        <v>24</v>
      </c>
      <c r="B257" s="3" t="s">
        <v>25</v>
      </c>
      <c r="C257" s="4">
        <v>759</v>
      </c>
      <c r="D257" s="5">
        <v>42213</v>
      </c>
      <c r="E257" s="3" t="s">
        <v>10</v>
      </c>
      <c r="F257" s="4" t="s">
        <v>11</v>
      </c>
      <c r="G257" s="20">
        <v>2.06</v>
      </c>
      <c r="H257" s="20">
        <v>0.88</v>
      </c>
      <c r="I257" s="20">
        <v>0.45113999999999993</v>
      </c>
      <c r="J257" s="20">
        <v>0.73542000000000007</v>
      </c>
    </row>
    <row r="258" spans="1:10" x14ac:dyDescent="0.25">
      <c r="A258" s="3" t="s">
        <v>24</v>
      </c>
      <c r="B258" s="3" t="s">
        <v>25</v>
      </c>
      <c r="C258" s="4">
        <v>760</v>
      </c>
      <c r="D258" s="5">
        <v>42213</v>
      </c>
      <c r="E258" s="3" t="s">
        <v>7</v>
      </c>
      <c r="F258" s="4" t="s">
        <v>8</v>
      </c>
      <c r="G258" s="20">
        <v>4.1900000000000004</v>
      </c>
      <c r="H258" s="20">
        <v>2.38</v>
      </c>
      <c r="I258" s="20">
        <v>1.0768300000000002</v>
      </c>
      <c r="J258" s="20">
        <v>0.90504000000000018</v>
      </c>
    </row>
    <row r="259" spans="1:10" x14ac:dyDescent="0.25">
      <c r="A259" s="3" t="s">
        <v>24</v>
      </c>
      <c r="B259" s="3" t="s">
        <v>25</v>
      </c>
      <c r="C259" s="4">
        <v>761</v>
      </c>
      <c r="D259" s="5">
        <v>42213</v>
      </c>
      <c r="E259" s="3" t="s">
        <v>7</v>
      </c>
      <c r="F259" s="4" t="s">
        <v>8</v>
      </c>
      <c r="G259" s="20">
        <v>3.37</v>
      </c>
      <c r="H259" s="20">
        <v>2.7</v>
      </c>
      <c r="I259" s="20">
        <v>0.57963999999999993</v>
      </c>
      <c r="J259" s="20">
        <v>0.66726000000000008</v>
      </c>
    </row>
    <row r="260" spans="1:10" x14ac:dyDescent="0.25">
      <c r="A260" s="3" t="s">
        <v>24</v>
      </c>
      <c r="B260" s="3" t="s">
        <v>25</v>
      </c>
      <c r="C260" s="4">
        <v>762</v>
      </c>
      <c r="D260" s="5">
        <v>42213</v>
      </c>
      <c r="E260" s="3" t="s">
        <v>7</v>
      </c>
      <c r="F260" s="4" t="s">
        <v>11</v>
      </c>
      <c r="G260" s="20">
        <v>2.08</v>
      </c>
      <c r="H260" s="20">
        <v>2.65</v>
      </c>
      <c r="I260" s="20">
        <v>0.28495999999999999</v>
      </c>
      <c r="J260" s="20">
        <v>0.35152</v>
      </c>
    </row>
    <row r="261" spans="1:10" x14ac:dyDescent="0.25">
      <c r="A261" s="3" t="s">
        <v>24</v>
      </c>
      <c r="B261" s="3" t="s">
        <v>25</v>
      </c>
      <c r="C261" s="4">
        <v>763</v>
      </c>
      <c r="D261" s="5">
        <v>42213</v>
      </c>
      <c r="E261" s="3" t="s">
        <v>7</v>
      </c>
      <c r="F261" s="4" t="s">
        <v>11</v>
      </c>
      <c r="G261" s="20">
        <v>3.08</v>
      </c>
      <c r="H261" s="20">
        <v>1.4</v>
      </c>
      <c r="I261" s="20">
        <v>0.79156000000000004</v>
      </c>
      <c r="J261" s="20">
        <v>0.74536000000000002</v>
      </c>
    </row>
    <row r="262" spans="1:10" x14ac:dyDescent="0.25">
      <c r="A262" s="3" t="s">
        <v>24</v>
      </c>
      <c r="B262" s="3" t="s">
        <v>25</v>
      </c>
      <c r="C262" s="4">
        <v>764</v>
      </c>
      <c r="D262" s="5">
        <v>42213</v>
      </c>
      <c r="E262" s="3" t="s">
        <v>7</v>
      </c>
      <c r="F262" s="4" t="s">
        <v>11</v>
      </c>
      <c r="G262" s="20">
        <v>2.2599999999999998</v>
      </c>
      <c r="H262" s="20">
        <v>0.8</v>
      </c>
      <c r="I262" s="20">
        <v>0.62375999999999998</v>
      </c>
      <c r="J262" s="20">
        <v>0.48137999999999992</v>
      </c>
    </row>
    <row r="263" spans="1:10" x14ac:dyDescent="0.25">
      <c r="A263" s="3" t="s">
        <v>26</v>
      </c>
      <c r="B263" s="3" t="s">
        <v>27</v>
      </c>
      <c r="C263" s="4">
        <v>105</v>
      </c>
      <c r="D263" s="5">
        <v>42088</v>
      </c>
      <c r="E263" s="3" t="s">
        <v>7</v>
      </c>
      <c r="F263" s="4" t="s">
        <v>8</v>
      </c>
      <c r="G263" s="20">
        <v>5.64</v>
      </c>
      <c r="H263" s="20">
        <v>0.5</v>
      </c>
      <c r="I263" s="20">
        <v>2.74668</v>
      </c>
      <c r="J263" s="20">
        <v>1.1561999999999999</v>
      </c>
    </row>
    <row r="264" spans="1:10" x14ac:dyDescent="0.25">
      <c r="A264" s="3" t="s">
        <v>26</v>
      </c>
      <c r="B264" s="3" t="s">
        <v>27</v>
      </c>
      <c r="C264" s="4">
        <v>106</v>
      </c>
      <c r="D264" s="5">
        <v>42088</v>
      </c>
      <c r="E264" s="3" t="s">
        <v>7</v>
      </c>
      <c r="F264" s="4" t="s">
        <v>11</v>
      </c>
      <c r="G264" s="20">
        <v>3.55</v>
      </c>
      <c r="H264" s="20">
        <v>0.16</v>
      </c>
      <c r="I264" s="20">
        <v>1.65785</v>
      </c>
      <c r="J264" s="20">
        <v>0.88749999999999996</v>
      </c>
    </row>
    <row r="265" spans="1:10" x14ac:dyDescent="0.25">
      <c r="A265" s="3" t="s">
        <v>26</v>
      </c>
      <c r="B265" s="3" t="s">
        <v>27</v>
      </c>
      <c r="C265" s="4">
        <v>107</v>
      </c>
      <c r="D265" s="5">
        <v>42088</v>
      </c>
      <c r="E265" s="3" t="s">
        <v>7</v>
      </c>
      <c r="F265" s="4" t="s">
        <v>9</v>
      </c>
      <c r="G265" s="20">
        <v>2.0099999999999998</v>
      </c>
      <c r="H265" s="20">
        <v>0.16</v>
      </c>
      <c r="I265" s="20">
        <v>0.65123999999999993</v>
      </c>
      <c r="J265" s="20">
        <v>0.79193999999999987</v>
      </c>
    </row>
    <row r="266" spans="1:10" x14ac:dyDescent="0.25">
      <c r="A266" s="3" t="s">
        <v>26</v>
      </c>
      <c r="B266" s="3" t="s">
        <v>27</v>
      </c>
      <c r="C266" s="4">
        <v>180</v>
      </c>
      <c r="D266" s="5">
        <v>42116</v>
      </c>
      <c r="E266" s="3" t="s">
        <v>7</v>
      </c>
      <c r="F266" s="4" t="s">
        <v>8</v>
      </c>
      <c r="G266" s="23">
        <v>4.08</v>
      </c>
      <c r="H266" s="23">
        <v>0.84</v>
      </c>
      <c r="I266" s="20">
        <v>2.0032800000000002</v>
      </c>
      <c r="J266" s="20">
        <v>0.60792000000000002</v>
      </c>
    </row>
    <row r="267" spans="1:10" x14ac:dyDescent="0.25">
      <c r="A267" s="3" t="s">
        <v>26</v>
      </c>
      <c r="B267" s="3" t="s">
        <v>27</v>
      </c>
      <c r="C267" s="4">
        <v>181</v>
      </c>
      <c r="D267" s="5">
        <v>42116</v>
      </c>
      <c r="E267" s="3" t="s">
        <v>7</v>
      </c>
      <c r="F267" s="4" t="s">
        <v>11</v>
      </c>
      <c r="G267" s="23">
        <v>4.3600000000000003</v>
      </c>
      <c r="H267" s="23">
        <v>0.65</v>
      </c>
      <c r="I267" s="20">
        <v>2.18872</v>
      </c>
      <c r="J267" s="20">
        <v>0.75428000000000017</v>
      </c>
    </row>
    <row r="268" spans="1:10" x14ac:dyDescent="0.25">
      <c r="A268" s="3" t="s">
        <v>26</v>
      </c>
      <c r="B268" s="3" t="s">
        <v>27</v>
      </c>
      <c r="C268" s="4">
        <v>231</v>
      </c>
      <c r="D268" s="5">
        <v>42132</v>
      </c>
      <c r="E268" s="3" t="s">
        <v>7</v>
      </c>
      <c r="F268" s="4" t="s">
        <v>8</v>
      </c>
      <c r="G268" s="20">
        <v>2.84</v>
      </c>
      <c r="H268" s="20">
        <v>0.56000000000000005</v>
      </c>
      <c r="I268" s="20">
        <v>1.11328</v>
      </c>
      <c r="J268" s="20">
        <v>0.58219999999999994</v>
      </c>
    </row>
    <row r="269" spans="1:10" x14ac:dyDescent="0.25">
      <c r="A269" s="3" t="s">
        <v>26</v>
      </c>
      <c r="B269" s="3" t="s">
        <v>27</v>
      </c>
      <c r="C269" s="4">
        <v>232</v>
      </c>
      <c r="D269" s="5">
        <v>42132</v>
      </c>
      <c r="E269" s="3" t="s">
        <v>7</v>
      </c>
      <c r="F269" s="4" t="s">
        <v>11</v>
      </c>
      <c r="G269" s="20">
        <v>3.7</v>
      </c>
      <c r="H269" s="20">
        <v>0.62</v>
      </c>
      <c r="I269" s="20">
        <v>1.7538</v>
      </c>
      <c r="J269" s="20">
        <v>0.79180000000000006</v>
      </c>
    </row>
    <row r="270" spans="1:10" x14ac:dyDescent="0.25">
      <c r="A270" s="3" t="s">
        <v>26</v>
      </c>
      <c r="B270" s="3" t="s">
        <v>27</v>
      </c>
      <c r="C270" s="4">
        <v>233</v>
      </c>
      <c r="D270" s="5">
        <v>42132</v>
      </c>
      <c r="E270" s="3" t="s">
        <v>7</v>
      </c>
      <c r="F270" s="4" t="s">
        <v>11</v>
      </c>
      <c r="G270" s="20">
        <v>2.87</v>
      </c>
      <c r="H270" s="20">
        <v>0.66</v>
      </c>
      <c r="I270" s="20">
        <v>1.27715</v>
      </c>
      <c r="J270" s="20">
        <v>0.49363999999999997</v>
      </c>
    </row>
    <row r="271" spans="1:10" x14ac:dyDescent="0.25">
      <c r="A271" s="3" t="s">
        <v>26</v>
      </c>
      <c r="B271" s="3" t="s">
        <v>27</v>
      </c>
      <c r="C271" s="4">
        <v>234</v>
      </c>
      <c r="D271" s="5">
        <v>42132</v>
      </c>
      <c r="E271" s="3" t="s">
        <v>7</v>
      </c>
      <c r="F271" s="4" t="s">
        <v>9</v>
      </c>
      <c r="G271" s="20">
        <v>1.4</v>
      </c>
      <c r="H271" s="20">
        <v>0.34</v>
      </c>
      <c r="I271" s="20">
        <v>0.39759999999999995</v>
      </c>
      <c r="J271" s="20">
        <v>0.44379999999999997</v>
      </c>
    </row>
    <row r="272" spans="1:10" x14ac:dyDescent="0.25">
      <c r="A272" s="3" t="s">
        <v>26</v>
      </c>
      <c r="B272" s="3" t="s">
        <v>27</v>
      </c>
      <c r="C272" s="4">
        <v>235</v>
      </c>
      <c r="D272" s="5">
        <v>42132</v>
      </c>
      <c r="E272" s="3" t="s">
        <v>7</v>
      </c>
      <c r="F272" s="4" t="s">
        <v>9</v>
      </c>
      <c r="G272" s="20">
        <v>1.47</v>
      </c>
      <c r="H272" s="20">
        <v>0.26</v>
      </c>
      <c r="I272" s="20">
        <v>0.52184999999999993</v>
      </c>
      <c r="J272" s="20">
        <v>0.39984000000000003</v>
      </c>
    </row>
    <row r="273" spans="1:10" x14ac:dyDescent="0.25">
      <c r="A273" s="3" t="s">
        <v>26</v>
      </c>
      <c r="B273" s="3" t="s">
        <v>27</v>
      </c>
      <c r="C273" s="4">
        <v>236</v>
      </c>
      <c r="D273" s="5">
        <v>42132</v>
      </c>
      <c r="E273" s="3" t="s">
        <v>7</v>
      </c>
      <c r="F273" s="4" t="s">
        <v>9</v>
      </c>
      <c r="G273" s="20">
        <v>1.23</v>
      </c>
      <c r="H273" s="20">
        <v>0.17</v>
      </c>
      <c r="I273" s="20">
        <v>0.45263999999999999</v>
      </c>
      <c r="J273" s="20">
        <v>0.3075</v>
      </c>
    </row>
    <row r="274" spans="1:10" x14ac:dyDescent="0.25">
      <c r="A274" s="3" t="s">
        <v>26</v>
      </c>
      <c r="B274" s="3" t="s">
        <v>27</v>
      </c>
      <c r="C274" s="4">
        <v>341</v>
      </c>
      <c r="D274" s="5">
        <v>42020</v>
      </c>
      <c r="E274" s="8" t="s">
        <v>7</v>
      </c>
      <c r="F274" s="4" t="s">
        <v>11</v>
      </c>
      <c r="G274" s="25">
        <v>3.11</v>
      </c>
      <c r="H274" s="26">
        <v>7.0000000000000007E-2</v>
      </c>
      <c r="I274" s="20">
        <v>1.3932799999999999</v>
      </c>
      <c r="J274" s="20">
        <v>0.64376999999999995</v>
      </c>
    </row>
    <row r="275" spans="1:10" x14ac:dyDescent="0.25">
      <c r="A275" s="3" t="s">
        <v>26</v>
      </c>
      <c r="B275" s="3" t="s">
        <v>27</v>
      </c>
      <c r="C275" s="4">
        <v>342</v>
      </c>
      <c r="D275" s="5">
        <v>42020</v>
      </c>
      <c r="E275" s="8" t="s">
        <v>7</v>
      </c>
      <c r="F275" s="4" t="s">
        <v>11</v>
      </c>
      <c r="G275" s="25">
        <v>1.81</v>
      </c>
      <c r="H275" s="26">
        <v>0.04</v>
      </c>
      <c r="I275" s="20">
        <v>0.73305000000000009</v>
      </c>
      <c r="J275" s="20">
        <v>0.38191000000000003</v>
      </c>
    </row>
    <row r="276" spans="1:10" x14ac:dyDescent="0.25">
      <c r="A276" s="3" t="s">
        <v>26</v>
      </c>
      <c r="B276" s="3" t="s">
        <v>27</v>
      </c>
      <c r="C276" s="4">
        <v>343</v>
      </c>
      <c r="D276" s="5">
        <v>42020</v>
      </c>
      <c r="E276" s="8" t="s">
        <v>7</v>
      </c>
      <c r="F276" s="4" t="s">
        <v>9</v>
      </c>
      <c r="G276" s="25">
        <v>0.98</v>
      </c>
      <c r="H276" s="26">
        <v>0.2</v>
      </c>
      <c r="I276" s="20">
        <v>0.29008000000000006</v>
      </c>
      <c r="J276" s="20">
        <v>0.25381999999999999</v>
      </c>
    </row>
    <row r="277" spans="1:10" x14ac:dyDescent="0.25">
      <c r="A277" s="3" t="s">
        <v>26</v>
      </c>
      <c r="B277" s="3" t="s">
        <v>27</v>
      </c>
      <c r="C277" s="4">
        <v>344</v>
      </c>
      <c r="D277" s="5">
        <v>42020</v>
      </c>
      <c r="E277" s="8" t="s">
        <v>7</v>
      </c>
      <c r="F277" s="4" t="s">
        <v>9</v>
      </c>
      <c r="G277" s="25">
        <v>1.1399999999999999</v>
      </c>
      <c r="H277" s="26">
        <v>0.1</v>
      </c>
      <c r="I277" s="20">
        <v>0.37734000000000001</v>
      </c>
      <c r="J277" s="20">
        <v>0.29411999999999999</v>
      </c>
    </row>
    <row r="278" spans="1:10" x14ac:dyDescent="0.25">
      <c r="A278" s="3" t="s">
        <v>26</v>
      </c>
      <c r="B278" s="3" t="s">
        <v>27</v>
      </c>
      <c r="C278" s="4">
        <v>376</v>
      </c>
      <c r="D278" s="5">
        <v>41976</v>
      </c>
      <c r="E278" s="8" t="s">
        <v>7</v>
      </c>
      <c r="F278" s="4" t="s">
        <v>8</v>
      </c>
      <c r="G278" s="20">
        <v>5.1100000000000003</v>
      </c>
      <c r="H278" s="20">
        <v>0.17</v>
      </c>
      <c r="I278" s="20">
        <v>1.9111400000000001</v>
      </c>
      <c r="J278" s="20">
        <v>0.7307300000000001</v>
      </c>
    </row>
    <row r="279" spans="1:10" x14ac:dyDescent="0.25">
      <c r="A279" s="3" t="s">
        <v>26</v>
      </c>
      <c r="B279" s="3" t="s">
        <v>27</v>
      </c>
      <c r="C279" s="4">
        <v>378</v>
      </c>
      <c r="D279" s="5">
        <v>41976</v>
      </c>
      <c r="E279" s="8" t="s">
        <v>7</v>
      </c>
      <c r="F279" s="4" t="s">
        <v>8</v>
      </c>
      <c r="G279" s="20">
        <v>3.82</v>
      </c>
      <c r="H279" s="20">
        <v>0.1</v>
      </c>
      <c r="I279" s="20">
        <v>1.9367399999999999</v>
      </c>
      <c r="J279" s="20">
        <v>0.75636000000000003</v>
      </c>
    </row>
    <row r="280" spans="1:10" x14ac:dyDescent="0.25">
      <c r="A280" s="3" t="s">
        <v>26</v>
      </c>
      <c r="B280" s="3" t="s">
        <v>27</v>
      </c>
      <c r="C280" s="4">
        <v>379</v>
      </c>
      <c r="D280" s="5">
        <v>41976</v>
      </c>
      <c r="E280" s="8" t="s">
        <v>7</v>
      </c>
      <c r="F280" s="4" t="s">
        <v>8</v>
      </c>
      <c r="G280" s="20">
        <v>3.5</v>
      </c>
      <c r="H280" s="20">
        <v>0.41</v>
      </c>
      <c r="I280" s="20">
        <v>1.6345000000000001</v>
      </c>
      <c r="J280" s="20">
        <v>0.60199999999999998</v>
      </c>
    </row>
    <row r="281" spans="1:10" x14ac:dyDescent="0.25">
      <c r="A281" s="3" t="s">
        <v>26</v>
      </c>
      <c r="B281" s="3" t="s">
        <v>27</v>
      </c>
      <c r="C281" s="4">
        <v>380</v>
      </c>
      <c r="D281" s="5">
        <v>41976</v>
      </c>
      <c r="E281" s="8" t="s">
        <v>7</v>
      </c>
      <c r="F281" s="4" t="s">
        <v>8</v>
      </c>
      <c r="G281" s="20">
        <v>2.54</v>
      </c>
      <c r="H281" s="20">
        <v>0.16</v>
      </c>
      <c r="I281" s="20">
        <v>0.98551999999999995</v>
      </c>
      <c r="J281" s="20">
        <v>0.4572</v>
      </c>
    </row>
    <row r="282" spans="1:10" x14ac:dyDescent="0.25">
      <c r="A282" s="3" t="s">
        <v>26</v>
      </c>
      <c r="B282" s="3" t="s">
        <v>27</v>
      </c>
      <c r="C282" s="4">
        <v>381</v>
      </c>
      <c r="D282" s="5">
        <v>41976</v>
      </c>
      <c r="E282" s="8" t="s">
        <v>7</v>
      </c>
      <c r="F282" s="4" t="s">
        <v>8</v>
      </c>
      <c r="G282" s="20">
        <v>3.08</v>
      </c>
      <c r="H282" s="20">
        <v>0.37</v>
      </c>
      <c r="I282" s="20">
        <v>1.4014</v>
      </c>
      <c r="J282" s="20">
        <v>0.56364000000000003</v>
      </c>
    </row>
    <row r="283" spans="1:10" x14ac:dyDescent="0.25">
      <c r="A283" s="3" t="s">
        <v>26</v>
      </c>
      <c r="B283" s="3" t="s">
        <v>27</v>
      </c>
      <c r="C283" s="4">
        <v>382</v>
      </c>
      <c r="D283" s="5">
        <v>41978</v>
      </c>
      <c r="E283" s="8" t="s">
        <v>7</v>
      </c>
      <c r="F283" s="4" t="s">
        <v>8</v>
      </c>
      <c r="G283" s="20">
        <v>3.13</v>
      </c>
      <c r="H283" s="20">
        <v>0.06</v>
      </c>
      <c r="I283" s="20">
        <v>1.3803300000000001</v>
      </c>
      <c r="J283" s="20">
        <v>0.76371999999999995</v>
      </c>
    </row>
    <row r="284" spans="1:10" x14ac:dyDescent="0.25">
      <c r="A284" s="3" t="s">
        <v>26</v>
      </c>
      <c r="B284" s="3" t="s">
        <v>27</v>
      </c>
      <c r="C284" s="4">
        <v>383</v>
      </c>
      <c r="D284" s="5">
        <v>41978</v>
      </c>
      <c r="E284" s="8" t="s">
        <v>7</v>
      </c>
      <c r="F284" s="4" t="s">
        <v>8</v>
      </c>
      <c r="G284" s="20">
        <v>2.99</v>
      </c>
      <c r="H284" s="20">
        <v>0.17</v>
      </c>
      <c r="I284" s="20">
        <v>1.2767300000000001</v>
      </c>
      <c r="J284" s="20">
        <v>0.66378000000000004</v>
      </c>
    </row>
    <row r="285" spans="1:10" x14ac:dyDescent="0.25">
      <c r="A285" s="3" t="s">
        <v>26</v>
      </c>
      <c r="B285" s="3" t="s">
        <v>27</v>
      </c>
      <c r="C285" s="4">
        <v>384</v>
      </c>
      <c r="D285" s="5">
        <v>41978</v>
      </c>
      <c r="E285" s="8" t="s">
        <v>7</v>
      </c>
      <c r="F285" s="4" t="s">
        <v>8</v>
      </c>
      <c r="G285" s="20">
        <v>3.23</v>
      </c>
      <c r="H285" s="20">
        <v>0.35</v>
      </c>
      <c r="I285" s="20">
        <v>1.3146100000000001</v>
      </c>
      <c r="J285" s="20">
        <v>0.7752</v>
      </c>
    </row>
    <row r="286" spans="1:10" x14ac:dyDescent="0.25">
      <c r="A286" s="3" t="s">
        <v>26</v>
      </c>
      <c r="B286" s="3" t="s">
        <v>27</v>
      </c>
      <c r="C286" s="4">
        <v>385</v>
      </c>
      <c r="D286" s="5">
        <v>41978</v>
      </c>
      <c r="E286" s="8" t="s">
        <v>7</v>
      </c>
      <c r="F286" s="4" t="s">
        <v>8</v>
      </c>
      <c r="G286" s="20">
        <v>3.27</v>
      </c>
      <c r="H286" s="20">
        <v>0.17</v>
      </c>
      <c r="I286" s="20">
        <v>1.29165</v>
      </c>
      <c r="J286" s="20">
        <v>0.75536999999999999</v>
      </c>
    </row>
    <row r="287" spans="1:10" x14ac:dyDescent="0.25">
      <c r="A287" s="3" t="s">
        <v>26</v>
      </c>
      <c r="B287" s="3" t="s">
        <v>27</v>
      </c>
      <c r="C287" s="4">
        <v>402</v>
      </c>
      <c r="D287" s="5">
        <v>42163</v>
      </c>
      <c r="E287" s="3" t="s">
        <v>7</v>
      </c>
      <c r="F287" s="4" t="s">
        <v>11</v>
      </c>
      <c r="G287" s="20">
        <v>4.04</v>
      </c>
      <c r="H287" s="20">
        <v>0.54</v>
      </c>
      <c r="I287" s="20">
        <v>1.7008400000000001</v>
      </c>
      <c r="J287" s="20">
        <v>1.1635200000000001</v>
      </c>
    </row>
    <row r="288" spans="1:10" x14ac:dyDescent="0.25">
      <c r="A288" s="3" t="s">
        <v>26</v>
      </c>
      <c r="B288" s="3" t="s">
        <v>27</v>
      </c>
      <c r="C288" s="4">
        <v>411</v>
      </c>
      <c r="D288" s="13"/>
      <c r="E288" s="3" t="s">
        <v>7</v>
      </c>
      <c r="F288" s="4" t="s">
        <v>8</v>
      </c>
      <c r="G288" s="20">
        <v>3.14</v>
      </c>
      <c r="H288" s="20">
        <v>0.28000000000000003</v>
      </c>
      <c r="I288" s="20">
        <v>1.3659000000000001</v>
      </c>
      <c r="J288" s="20">
        <v>0.62172000000000005</v>
      </c>
    </row>
    <row r="289" spans="1:10" x14ac:dyDescent="0.25">
      <c r="A289" s="3" t="s">
        <v>26</v>
      </c>
      <c r="B289" s="3" t="s">
        <v>27</v>
      </c>
      <c r="C289" s="4">
        <v>412</v>
      </c>
      <c r="D289" s="13"/>
      <c r="E289" s="3" t="s">
        <v>7</v>
      </c>
      <c r="F289" s="4" t="s">
        <v>9</v>
      </c>
      <c r="G289" s="20">
        <v>1.62</v>
      </c>
      <c r="H289" s="20">
        <v>0.22</v>
      </c>
      <c r="I289" s="20">
        <v>0.60264000000000018</v>
      </c>
      <c r="J289" s="20">
        <v>0.37584000000000001</v>
      </c>
    </row>
    <row r="290" spans="1:10" x14ac:dyDescent="0.25">
      <c r="A290" s="3" t="s">
        <v>26</v>
      </c>
      <c r="B290" s="3" t="s">
        <v>27</v>
      </c>
      <c r="C290" s="4">
        <v>413</v>
      </c>
      <c r="D290" s="13"/>
      <c r="E290" s="3" t="s">
        <v>7</v>
      </c>
      <c r="F290" s="4" t="s">
        <v>9</v>
      </c>
      <c r="G290" s="20">
        <v>1.61</v>
      </c>
      <c r="H290" s="20">
        <v>0.26</v>
      </c>
      <c r="I290" s="20">
        <v>0.49910000000000004</v>
      </c>
      <c r="J290" s="20">
        <v>0.41538000000000003</v>
      </c>
    </row>
    <row r="291" spans="1:10" x14ac:dyDescent="0.25">
      <c r="A291" s="3" t="s">
        <v>26</v>
      </c>
      <c r="B291" s="3" t="s">
        <v>27</v>
      </c>
      <c r="C291" s="4">
        <v>438</v>
      </c>
      <c r="D291" s="5">
        <v>42059</v>
      </c>
      <c r="E291" s="3" t="s">
        <v>7</v>
      </c>
      <c r="F291" s="4" t="s">
        <v>8</v>
      </c>
      <c r="G291" s="25">
        <v>1.79</v>
      </c>
      <c r="H291" s="25">
        <v>0.09</v>
      </c>
      <c r="I291" s="20">
        <v>0.64439999999999997</v>
      </c>
      <c r="J291" s="20">
        <v>0.33294000000000007</v>
      </c>
    </row>
    <row r="292" spans="1:10" x14ac:dyDescent="0.25">
      <c r="A292" s="3" t="s">
        <v>26</v>
      </c>
      <c r="B292" s="3" t="s">
        <v>27</v>
      </c>
      <c r="C292" s="4">
        <v>439</v>
      </c>
      <c r="D292" s="5">
        <v>42059</v>
      </c>
      <c r="E292" s="3" t="s">
        <v>7</v>
      </c>
      <c r="F292" s="4" t="s">
        <v>9</v>
      </c>
      <c r="G292" s="25">
        <v>0.9</v>
      </c>
      <c r="H292" s="25">
        <v>0.12</v>
      </c>
      <c r="I292" s="20">
        <v>0.25470000000000004</v>
      </c>
      <c r="J292" s="20">
        <v>0.19259999999999999</v>
      </c>
    </row>
    <row r="293" spans="1:10" x14ac:dyDescent="0.25">
      <c r="A293" s="3" t="s">
        <v>26</v>
      </c>
      <c r="B293" s="3" t="s">
        <v>27</v>
      </c>
      <c r="C293" s="4">
        <v>440</v>
      </c>
      <c r="D293" s="5">
        <v>42059</v>
      </c>
      <c r="E293" s="3" t="s">
        <v>7</v>
      </c>
      <c r="F293" s="4" t="s">
        <v>9</v>
      </c>
      <c r="G293" s="25">
        <v>1.25</v>
      </c>
      <c r="H293" s="25">
        <v>0.09</v>
      </c>
      <c r="I293" s="20">
        <v>0.41500000000000004</v>
      </c>
      <c r="J293" s="20">
        <v>0.22999999999999998</v>
      </c>
    </row>
    <row r="294" spans="1:10" x14ac:dyDescent="0.25">
      <c r="A294" s="3" t="s">
        <v>26</v>
      </c>
      <c r="B294" s="3" t="s">
        <v>27</v>
      </c>
      <c r="C294" s="4">
        <v>446</v>
      </c>
      <c r="D294" s="5">
        <v>42163</v>
      </c>
      <c r="E294" s="3" t="s">
        <v>10</v>
      </c>
      <c r="F294" s="4" t="s">
        <v>8</v>
      </c>
      <c r="G294" s="20">
        <v>4.71</v>
      </c>
      <c r="H294" s="20">
        <v>1.07</v>
      </c>
      <c r="I294" s="20">
        <v>1.4648099999999999</v>
      </c>
      <c r="J294" s="20">
        <v>1.6202399999999999</v>
      </c>
    </row>
    <row r="295" spans="1:10" x14ac:dyDescent="0.25">
      <c r="A295" s="3" t="s">
        <v>26</v>
      </c>
      <c r="B295" s="3" t="s">
        <v>27</v>
      </c>
      <c r="C295" s="4">
        <v>447</v>
      </c>
      <c r="D295" s="5">
        <v>42163</v>
      </c>
      <c r="E295" s="3" t="s">
        <v>10</v>
      </c>
      <c r="F295" s="4" t="s">
        <v>9</v>
      </c>
      <c r="G295" s="20">
        <v>1.56</v>
      </c>
      <c r="H295" s="20">
        <v>0.35</v>
      </c>
      <c r="I295" s="20">
        <v>0.53040000000000009</v>
      </c>
      <c r="J295" s="20">
        <v>0.4446</v>
      </c>
    </row>
    <row r="296" spans="1:10" x14ac:dyDescent="0.25">
      <c r="A296" s="3" t="s">
        <v>26</v>
      </c>
      <c r="B296" s="3" t="s">
        <v>27</v>
      </c>
      <c r="C296" s="4">
        <v>448</v>
      </c>
      <c r="D296" s="5">
        <v>42163</v>
      </c>
      <c r="E296" s="3" t="s">
        <v>10</v>
      </c>
      <c r="F296" s="4" t="s">
        <v>9</v>
      </c>
      <c r="G296" s="20">
        <v>1.95</v>
      </c>
      <c r="H296" s="20">
        <v>0.3</v>
      </c>
      <c r="I296" s="20">
        <v>0.47384999999999999</v>
      </c>
      <c r="J296" s="20">
        <v>0.83655000000000002</v>
      </c>
    </row>
    <row r="297" spans="1:10" x14ac:dyDescent="0.25">
      <c r="A297" s="3" t="s">
        <v>26</v>
      </c>
      <c r="B297" s="3" t="s">
        <v>27</v>
      </c>
      <c r="C297" s="4">
        <v>739</v>
      </c>
      <c r="D297" s="5">
        <v>42199</v>
      </c>
      <c r="E297" s="3" t="s">
        <v>7</v>
      </c>
      <c r="F297" s="4" t="s">
        <v>8</v>
      </c>
      <c r="G297" s="20">
        <v>5.13</v>
      </c>
      <c r="H297" s="20">
        <v>0.84</v>
      </c>
      <c r="I297" s="20">
        <v>2.1443399999999997</v>
      </c>
      <c r="J297" s="20">
        <v>1.31328</v>
      </c>
    </row>
    <row r="298" spans="1:10" x14ac:dyDescent="0.25">
      <c r="A298" s="3" t="s">
        <v>26</v>
      </c>
      <c r="B298" s="3" t="s">
        <v>27</v>
      </c>
      <c r="C298" s="4">
        <v>740</v>
      </c>
      <c r="D298" s="5">
        <v>42199</v>
      </c>
      <c r="E298" s="3" t="s">
        <v>7</v>
      </c>
      <c r="F298" s="4" t="s">
        <v>11</v>
      </c>
      <c r="G298" s="20">
        <v>3.87</v>
      </c>
      <c r="H298" s="20">
        <v>0.66</v>
      </c>
      <c r="I298" s="20">
        <v>1.5286500000000001</v>
      </c>
      <c r="J298" s="20">
        <v>1.01007</v>
      </c>
    </row>
    <row r="299" spans="1:10" x14ac:dyDescent="0.25">
      <c r="A299" s="3" t="s">
        <v>26</v>
      </c>
      <c r="B299" s="3" t="s">
        <v>27</v>
      </c>
      <c r="C299" s="4">
        <v>785</v>
      </c>
      <c r="D299" s="5">
        <v>42032</v>
      </c>
      <c r="E299" s="3" t="s">
        <v>7</v>
      </c>
      <c r="F299" s="4" t="s">
        <v>11</v>
      </c>
      <c r="G299" s="20">
        <v>4.59</v>
      </c>
      <c r="H299" s="20">
        <v>0.23</v>
      </c>
      <c r="I299" s="20">
        <v>2.1894300000000002</v>
      </c>
      <c r="J299" s="20">
        <v>0.87668999999999997</v>
      </c>
    </row>
    <row r="300" spans="1:10" x14ac:dyDescent="0.25">
      <c r="A300" s="3" t="s">
        <v>26</v>
      </c>
      <c r="B300" s="3" t="s">
        <v>27</v>
      </c>
      <c r="C300" s="4">
        <v>786</v>
      </c>
      <c r="D300" s="5">
        <v>42032</v>
      </c>
      <c r="E300" s="3" t="s">
        <v>7</v>
      </c>
      <c r="F300" s="4" t="s">
        <v>11</v>
      </c>
      <c r="G300" s="20">
        <v>4.45</v>
      </c>
      <c r="H300" s="20">
        <v>0.26</v>
      </c>
      <c r="I300" s="20">
        <v>2.5899000000000005</v>
      </c>
      <c r="J300" s="20">
        <v>0.48950000000000005</v>
      </c>
    </row>
    <row r="301" spans="1:10" x14ac:dyDescent="0.25">
      <c r="A301" s="3" t="s">
        <v>26</v>
      </c>
      <c r="B301" s="3" t="s">
        <v>27</v>
      </c>
      <c r="C301" s="4">
        <v>787</v>
      </c>
      <c r="D301" s="5">
        <v>42032</v>
      </c>
      <c r="E301" s="3" t="s">
        <v>7</v>
      </c>
      <c r="F301" s="4" t="s">
        <v>9</v>
      </c>
      <c r="G301" s="20">
        <v>2</v>
      </c>
      <c r="H301" s="20">
        <v>0.15</v>
      </c>
      <c r="I301" s="20">
        <v>0.76400000000000001</v>
      </c>
      <c r="J301" s="20">
        <v>0.45600000000000002</v>
      </c>
    </row>
    <row r="302" spans="1:10" x14ac:dyDescent="0.25">
      <c r="A302" s="3" t="s">
        <v>26</v>
      </c>
      <c r="B302" s="3" t="s">
        <v>27</v>
      </c>
      <c r="C302" s="4">
        <v>788</v>
      </c>
      <c r="D302" s="5">
        <v>42032</v>
      </c>
      <c r="E302" s="3" t="s">
        <v>7</v>
      </c>
      <c r="F302" s="4" t="s">
        <v>9</v>
      </c>
      <c r="G302" s="20">
        <v>1.73</v>
      </c>
      <c r="H302" s="20">
        <v>0.12</v>
      </c>
      <c r="I302" s="20">
        <v>0.70411000000000001</v>
      </c>
      <c r="J302" s="20">
        <v>0.41519999999999996</v>
      </c>
    </row>
    <row r="303" spans="1:10" x14ac:dyDescent="0.25">
      <c r="A303" s="3" t="s">
        <v>28</v>
      </c>
      <c r="B303" s="3" t="s">
        <v>29</v>
      </c>
      <c r="C303" s="4">
        <v>157</v>
      </c>
      <c r="D303" s="5">
        <v>42111</v>
      </c>
      <c r="E303" s="3" t="s">
        <v>7</v>
      </c>
      <c r="F303" s="4" t="s">
        <v>8</v>
      </c>
      <c r="G303" s="23">
        <v>8.1999999999999993</v>
      </c>
      <c r="H303" s="23">
        <v>1.1000000000000001</v>
      </c>
      <c r="I303" s="20">
        <v>4.7641999999999989</v>
      </c>
      <c r="J303" s="20">
        <v>1.64</v>
      </c>
    </row>
    <row r="304" spans="1:10" x14ac:dyDescent="0.25">
      <c r="A304" s="3" t="s">
        <v>28</v>
      </c>
      <c r="B304" s="3" t="s">
        <v>29</v>
      </c>
      <c r="C304" s="4">
        <v>158</v>
      </c>
      <c r="D304" s="5">
        <v>42111</v>
      </c>
      <c r="E304" s="3" t="s">
        <v>7</v>
      </c>
      <c r="F304" s="4" t="s">
        <v>9</v>
      </c>
      <c r="G304" s="23">
        <v>1.59</v>
      </c>
      <c r="H304" s="23">
        <v>0.37</v>
      </c>
      <c r="I304" s="20">
        <v>0.41658000000000006</v>
      </c>
      <c r="J304" s="20">
        <v>0.5660400000000001</v>
      </c>
    </row>
    <row r="305" spans="1:10" x14ac:dyDescent="0.25">
      <c r="A305" s="3" t="s">
        <v>28</v>
      </c>
      <c r="B305" s="3" t="s">
        <v>29</v>
      </c>
      <c r="C305" s="4">
        <v>204</v>
      </c>
      <c r="D305" s="5">
        <v>42123</v>
      </c>
      <c r="E305" s="3" t="s">
        <v>7</v>
      </c>
      <c r="F305" s="4" t="s">
        <v>8</v>
      </c>
      <c r="G305" s="20">
        <v>8.4600000000000009</v>
      </c>
      <c r="H305" s="20">
        <v>1.04</v>
      </c>
      <c r="I305" s="20">
        <v>4.3061400000000001</v>
      </c>
      <c r="J305" s="20">
        <v>2.5803000000000003</v>
      </c>
    </row>
    <row r="306" spans="1:10" x14ac:dyDescent="0.25">
      <c r="A306" s="3" t="s">
        <v>28</v>
      </c>
      <c r="B306" s="3" t="s">
        <v>29</v>
      </c>
      <c r="C306" s="4">
        <v>242</v>
      </c>
      <c r="D306" s="5">
        <v>42136</v>
      </c>
      <c r="E306" s="3" t="s">
        <v>7</v>
      </c>
      <c r="F306" s="4" t="s">
        <v>9</v>
      </c>
      <c r="G306" s="20">
        <v>2.78</v>
      </c>
      <c r="H306" s="20">
        <v>0.92</v>
      </c>
      <c r="I306" s="20">
        <v>0.69221999999999995</v>
      </c>
      <c r="J306" s="20">
        <v>1.1926199999999998</v>
      </c>
    </row>
    <row r="307" spans="1:10" x14ac:dyDescent="0.25">
      <c r="A307" s="3" t="s">
        <v>28</v>
      </c>
      <c r="B307" s="3" t="s">
        <v>29</v>
      </c>
      <c r="C307" s="4">
        <v>243</v>
      </c>
      <c r="D307" s="5">
        <v>42136</v>
      </c>
      <c r="E307" s="3" t="s">
        <v>10</v>
      </c>
      <c r="F307" s="4" t="s">
        <v>8</v>
      </c>
      <c r="G307" s="20">
        <v>8.02</v>
      </c>
      <c r="H307" s="20">
        <v>1.33</v>
      </c>
      <c r="I307" s="20">
        <v>3.5287999999999999</v>
      </c>
      <c r="J307" s="20">
        <v>2.4942199999999999</v>
      </c>
    </row>
    <row r="308" spans="1:10" x14ac:dyDescent="0.25">
      <c r="A308" s="3" t="s">
        <v>28</v>
      </c>
      <c r="B308" s="3" t="s">
        <v>29</v>
      </c>
      <c r="C308" s="4">
        <v>244</v>
      </c>
      <c r="D308" s="5">
        <v>42136</v>
      </c>
      <c r="E308" s="3" t="s">
        <v>10</v>
      </c>
      <c r="F308" s="4" t="s">
        <v>9</v>
      </c>
      <c r="G308" s="20">
        <v>1.98</v>
      </c>
      <c r="H308" s="20">
        <v>0.85</v>
      </c>
      <c r="I308" s="20">
        <v>0.45144000000000001</v>
      </c>
      <c r="J308" s="20">
        <v>0.64548000000000005</v>
      </c>
    </row>
    <row r="309" spans="1:10" x14ac:dyDescent="0.25">
      <c r="A309" s="3" t="s">
        <v>28</v>
      </c>
      <c r="B309" s="3" t="s">
        <v>29</v>
      </c>
      <c r="C309" s="4">
        <v>276</v>
      </c>
      <c r="D309" s="5">
        <v>42151</v>
      </c>
      <c r="E309" s="3" t="s">
        <v>7</v>
      </c>
      <c r="F309" s="4" t="s">
        <v>8</v>
      </c>
      <c r="G309" s="20">
        <v>4.5599999999999996</v>
      </c>
      <c r="H309" s="20">
        <v>0.79</v>
      </c>
      <c r="I309" s="20">
        <v>2.1751200000000002</v>
      </c>
      <c r="J309" s="20">
        <v>0.92111999999999983</v>
      </c>
    </row>
    <row r="310" spans="1:10" x14ac:dyDescent="0.25">
      <c r="A310" s="3" t="s">
        <v>28</v>
      </c>
      <c r="B310" s="3" t="s">
        <v>29</v>
      </c>
      <c r="C310" s="4">
        <v>279</v>
      </c>
      <c r="D310" s="5">
        <v>42151</v>
      </c>
      <c r="E310" s="3" t="s">
        <v>10</v>
      </c>
      <c r="F310" s="4" t="s">
        <v>8</v>
      </c>
      <c r="G310" s="20">
        <v>8.49</v>
      </c>
      <c r="H310" s="20">
        <v>0.94</v>
      </c>
      <c r="I310" s="20">
        <v>3.8035199999999998</v>
      </c>
      <c r="J310" s="20">
        <v>2.5979399999999999</v>
      </c>
    </row>
    <row r="311" spans="1:10" x14ac:dyDescent="0.25">
      <c r="A311" s="3" t="s">
        <v>28</v>
      </c>
      <c r="B311" s="3" t="s">
        <v>29</v>
      </c>
      <c r="C311" s="4">
        <v>280</v>
      </c>
      <c r="D311" s="5">
        <v>42151</v>
      </c>
      <c r="E311" s="3" t="s">
        <v>10</v>
      </c>
      <c r="F311" s="4" t="s">
        <v>9</v>
      </c>
      <c r="G311" s="20">
        <v>1.58</v>
      </c>
      <c r="H311" s="20">
        <v>0.67</v>
      </c>
      <c r="I311" s="20">
        <v>0.26228000000000001</v>
      </c>
      <c r="J311" s="20">
        <v>0.4819</v>
      </c>
    </row>
    <row r="312" spans="1:10" x14ac:dyDescent="0.25">
      <c r="A312" s="3" t="s">
        <v>28</v>
      </c>
      <c r="B312" s="3" t="s">
        <v>29</v>
      </c>
      <c r="C312" s="4">
        <v>485</v>
      </c>
      <c r="D312" s="5">
        <v>42073</v>
      </c>
      <c r="E312" s="3" t="s">
        <v>7</v>
      </c>
      <c r="F312" s="4" t="s">
        <v>8</v>
      </c>
      <c r="G312" s="20">
        <v>8.06</v>
      </c>
      <c r="H312" s="20">
        <v>0.69</v>
      </c>
      <c r="I312" s="20">
        <v>3.1595200000000001</v>
      </c>
      <c r="J312" s="20">
        <v>2.8290600000000006</v>
      </c>
    </row>
    <row r="313" spans="1:10" x14ac:dyDescent="0.25">
      <c r="A313" s="3" t="s">
        <v>28</v>
      </c>
      <c r="B313" s="3" t="s">
        <v>29</v>
      </c>
      <c r="C313" s="4">
        <v>486</v>
      </c>
      <c r="D313" s="5">
        <v>42073</v>
      </c>
      <c r="E313" s="3" t="s">
        <v>7</v>
      </c>
      <c r="F313" s="4" t="s">
        <v>9</v>
      </c>
      <c r="G313" s="20">
        <v>2</v>
      </c>
      <c r="H313" s="20">
        <v>0.41</v>
      </c>
      <c r="I313" s="20">
        <v>0.52</v>
      </c>
      <c r="J313" s="20">
        <v>0.70799999999999996</v>
      </c>
    </row>
    <row r="314" spans="1:10" x14ac:dyDescent="0.25">
      <c r="A314" s="3" t="s">
        <v>28</v>
      </c>
      <c r="B314" s="3" t="s">
        <v>29</v>
      </c>
      <c r="C314" s="4">
        <v>487</v>
      </c>
      <c r="D314" s="5">
        <v>42073</v>
      </c>
      <c r="E314" s="3" t="s">
        <v>7</v>
      </c>
      <c r="F314" s="4" t="s">
        <v>9</v>
      </c>
      <c r="G314" s="20">
        <v>1.95</v>
      </c>
      <c r="H314" s="20">
        <v>0.64</v>
      </c>
      <c r="I314" s="20">
        <v>0.54795000000000005</v>
      </c>
      <c r="J314" s="20">
        <v>0.68640000000000001</v>
      </c>
    </row>
    <row r="315" spans="1:10" x14ac:dyDescent="0.25">
      <c r="A315" s="3" t="s">
        <v>28</v>
      </c>
      <c r="B315" s="3" t="s">
        <v>29</v>
      </c>
      <c r="C315" s="4">
        <v>488</v>
      </c>
      <c r="D315" s="5">
        <v>42073</v>
      </c>
      <c r="E315" s="3" t="s">
        <v>10</v>
      </c>
      <c r="F315" s="4" t="s">
        <v>8</v>
      </c>
      <c r="G315" s="20">
        <v>12.65</v>
      </c>
      <c r="H315" s="20">
        <v>0.77</v>
      </c>
      <c r="I315" s="20">
        <v>6.5021000000000004</v>
      </c>
      <c r="J315" s="20">
        <v>3.7064499999999998</v>
      </c>
    </row>
    <row r="316" spans="1:10" x14ac:dyDescent="0.25">
      <c r="A316" s="3" t="s">
        <v>28</v>
      </c>
      <c r="B316" s="3" t="s">
        <v>29</v>
      </c>
      <c r="C316" s="4">
        <v>546</v>
      </c>
      <c r="D316" s="5">
        <v>42174</v>
      </c>
      <c r="E316" s="3" t="s">
        <v>7</v>
      </c>
      <c r="F316" s="4" t="s">
        <v>8</v>
      </c>
      <c r="G316" s="20">
        <v>7.41</v>
      </c>
      <c r="H316" s="20">
        <v>0.99</v>
      </c>
      <c r="I316" s="20">
        <v>3.7124100000000002</v>
      </c>
      <c r="J316" s="20">
        <v>1.9932899999999998</v>
      </c>
    </row>
    <row r="317" spans="1:10" x14ac:dyDescent="0.25">
      <c r="A317" s="3" t="s">
        <v>28</v>
      </c>
      <c r="B317" s="3" t="s">
        <v>29</v>
      </c>
      <c r="C317" s="4">
        <v>547</v>
      </c>
      <c r="D317" s="5">
        <v>42174</v>
      </c>
      <c r="E317" s="3" t="s">
        <v>10</v>
      </c>
      <c r="F317" s="4" t="s">
        <v>8</v>
      </c>
      <c r="G317" s="20">
        <v>7.45</v>
      </c>
      <c r="H317" s="20">
        <v>0.86</v>
      </c>
      <c r="I317" s="20">
        <v>3.3078000000000003</v>
      </c>
      <c r="J317" s="20">
        <v>2.7714000000000003</v>
      </c>
    </row>
    <row r="318" spans="1:10" x14ac:dyDescent="0.25">
      <c r="A318" s="3" t="s">
        <v>28</v>
      </c>
      <c r="B318" s="3" t="s">
        <v>29</v>
      </c>
      <c r="C318" s="4">
        <v>548</v>
      </c>
      <c r="D318" s="5">
        <v>42174</v>
      </c>
      <c r="E318" s="3" t="s">
        <v>10</v>
      </c>
      <c r="F318" s="4" t="s">
        <v>9</v>
      </c>
      <c r="G318" s="20">
        <v>2.0499999999999998</v>
      </c>
      <c r="H318" s="20">
        <v>0.37</v>
      </c>
      <c r="I318" s="20">
        <v>0.71544999999999992</v>
      </c>
      <c r="J318" s="20">
        <v>0.80769999999999986</v>
      </c>
    </row>
    <row r="319" spans="1:10" x14ac:dyDescent="0.25">
      <c r="A319" s="3" t="s">
        <v>28</v>
      </c>
      <c r="B319" s="3" t="s">
        <v>29</v>
      </c>
      <c r="C319" s="4">
        <v>737</v>
      </c>
      <c r="D319" s="5">
        <v>42192</v>
      </c>
      <c r="E319" s="3" t="s">
        <v>10</v>
      </c>
      <c r="F319" s="4" t="s">
        <v>9</v>
      </c>
      <c r="G319" s="20">
        <v>1.75</v>
      </c>
      <c r="H319" s="20">
        <v>0.4</v>
      </c>
      <c r="I319" s="20">
        <v>0.28875000000000001</v>
      </c>
      <c r="J319" s="20">
        <v>0.80675000000000008</v>
      </c>
    </row>
    <row r="320" spans="1:10" x14ac:dyDescent="0.25">
      <c r="A320" s="3" t="s">
        <v>30</v>
      </c>
      <c r="B320" s="3" t="s">
        <v>31</v>
      </c>
      <c r="C320" s="4">
        <v>75</v>
      </c>
      <c r="D320" s="5">
        <v>42080</v>
      </c>
      <c r="E320" s="3" t="s">
        <v>7</v>
      </c>
      <c r="F320" s="4" t="s">
        <v>8</v>
      </c>
      <c r="G320" s="20">
        <v>5.17</v>
      </c>
      <c r="H320" s="20">
        <v>0.72</v>
      </c>
      <c r="I320" s="20">
        <v>1.64923</v>
      </c>
      <c r="J320" s="20">
        <v>2.1196999999999999</v>
      </c>
    </row>
    <row r="321" spans="1:10" x14ac:dyDescent="0.25">
      <c r="A321" s="3" t="s">
        <v>30</v>
      </c>
      <c r="B321" s="3" t="s">
        <v>31</v>
      </c>
      <c r="C321" s="4">
        <v>76</v>
      </c>
      <c r="D321" s="5">
        <v>42080</v>
      </c>
      <c r="E321" s="3" t="s">
        <v>7</v>
      </c>
      <c r="F321" s="4" t="s">
        <v>8</v>
      </c>
      <c r="G321" s="20">
        <v>4.01</v>
      </c>
      <c r="H321" s="20">
        <v>0.63</v>
      </c>
      <c r="I321" s="20">
        <v>1.5999899999999998</v>
      </c>
      <c r="J321" s="20">
        <v>1.43157</v>
      </c>
    </row>
    <row r="322" spans="1:10" x14ac:dyDescent="0.25">
      <c r="A322" s="3" t="s">
        <v>30</v>
      </c>
      <c r="B322" s="3" t="s">
        <v>31</v>
      </c>
      <c r="C322" s="4">
        <v>77</v>
      </c>
      <c r="D322" s="5">
        <v>42080</v>
      </c>
      <c r="E322" s="3" t="s">
        <v>7</v>
      </c>
      <c r="F322" s="4" t="s">
        <v>11</v>
      </c>
      <c r="G322" s="20">
        <v>4.22</v>
      </c>
      <c r="H322" s="20">
        <v>0.65</v>
      </c>
      <c r="I322" s="20">
        <v>1.3714999999999999</v>
      </c>
      <c r="J322" s="20">
        <v>1.42214</v>
      </c>
    </row>
    <row r="323" spans="1:10" x14ac:dyDescent="0.25">
      <c r="A323" s="3" t="s">
        <v>30</v>
      </c>
      <c r="B323" s="3" t="s">
        <v>31</v>
      </c>
      <c r="C323" s="4">
        <v>78</v>
      </c>
      <c r="D323" s="5">
        <v>42080</v>
      </c>
      <c r="E323" s="3" t="s">
        <v>7</v>
      </c>
      <c r="F323" s="4" t="s">
        <v>11</v>
      </c>
      <c r="G323" s="20">
        <v>3.57</v>
      </c>
      <c r="H323" s="20">
        <v>0.54</v>
      </c>
      <c r="I323" s="20">
        <v>1.09599</v>
      </c>
      <c r="J323" s="20">
        <v>1.50654</v>
      </c>
    </row>
    <row r="324" spans="1:10" x14ac:dyDescent="0.25">
      <c r="A324" s="3" t="s">
        <v>30</v>
      </c>
      <c r="B324" s="3" t="s">
        <v>31</v>
      </c>
      <c r="C324" s="4">
        <v>80</v>
      </c>
      <c r="D324" s="5">
        <v>42080</v>
      </c>
      <c r="E324" s="3" t="s">
        <v>7</v>
      </c>
      <c r="F324" s="4" t="s">
        <v>9</v>
      </c>
      <c r="G324" s="20">
        <v>2.2000000000000002</v>
      </c>
      <c r="H324" s="20">
        <v>0.57999999999999996</v>
      </c>
      <c r="I324" s="20">
        <v>0.45980000000000004</v>
      </c>
      <c r="J324" s="20">
        <v>0.99880000000000002</v>
      </c>
    </row>
    <row r="325" spans="1:10" x14ac:dyDescent="0.25">
      <c r="A325" s="3" t="s">
        <v>30</v>
      </c>
      <c r="B325" s="3" t="s">
        <v>31</v>
      </c>
      <c r="C325" s="4">
        <v>81</v>
      </c>
      <c r="D325" s="5">
        <v>42080</v>
      </c>
      <c r="E325" s="3" t="s">
        <v>7</v>
      </c>
      <c r="F325" s="4" t="s">
        <v>9</v>
      </c>
      <c r="G325" s="20">
        <v>1.41</v>
      </c>
      <c r="H325" s="20">
        <v>0.42</v>
      </c>
      <c r="I325" s="20">
        <v>0.18048</v>
      </c>
      <c r="J325" s="20">
        <v>0.65705999999999998</v>
      </c>
    </row>
    <row r="326" spans="1:10" x14ac:dyDescent="0.25">
      <c r="A326" s="3" t="s">
        <v>30</v>
      </c>
      <c r="B326" s="3" t="s">
        <v>31</v>
      </c>
      <c r="C326" s="4">
        <v>82</v>
      </c>
      <c r="D326" s="5">
        <v>42080</v>
      </c>
      <c r="E326" s="8" t="s">
        <v>10</v>
      </c>
      <c r="F326" s="4" t="s">
        <v>8</v>
      </c>
      <c r="G326" s="20">
        <v>3.23</v>
      </c>
      <c r="H326" s="20">
        <v>0.57999999999999996</v>
      </c>
      <c r="I326" s="20">
        <v>0.64923000000000008</v>
      </c>
      <c r="J326" s="20">
        <v>1.8281800000000001</v>
      </c>
    </row>
    <row r="327" spans="1:10" x14ac:dyDescent="0.25">
      <c r="A327" s="3" t="s">
        <v>30</v>
      </c>
      <c r="B327" s="3" t="s">
        <v>31</v>
      </c>
      <c r="C327" s="4">
        <v>83</v>
      </c>
      <c r="D327" s="5">
        <v>42080</v>
      </c>
      <c r="E327" s="8" t="s">
        <v>10</v>
      </c>
      <c r="F327" s="4" t="s">
        <v>11</v>
      </c>
      <c r="G327" s="20">
        <v>1.42</v>
      </c>
      <c r="H327" s="20">
        <v>0.08</v>
      </c>
      <c r="I327" s="20">
        <v>0.25276000000000004</v>
      </c>
      <c r="J327" s="20">
        <v>0.75544</v>
      </c>
    </row>
    <row r="328" spans="1:10" x14ac:dyDescent="0.25">
      <c r="A328" s="3" t="s">
        <v>30</v>
      </c>
      <c r="B328" s="3" t="s">
        <v>31</v>
      </c>
      <c r="C328" s="4">
        <v>84</v>
      </c>
      <c r="D328" s="5">
        <v>42080</v>
      </c>
      <c r="E328" s="8" t="s">
        <v>10</v>
      </c>
      <c r="F328" s="4" t="s">
        <v>11</v>
      </c>
      <c r="G328" s="20">
        <v>2.0499999999999998</v>
      </c>
      <c r="H328" s="20">
        <v>0.51</v>
      </c>
      <c r="I328" s="20">
        <v>0.31364999999999998</v>
      </c>
      <c r="J328" s="20">
        <v>1.1049499999999999</v>
      </c>
    </row>
    <row r="329" spans="1:10" x14ac:dyDescent="0.25">
      <c r="A329" s="3" t="s">
        <v>30</v>
      </c>
      <c r="B329" s="3" t="s">
        <v>31</v>
      </c>
      <c r="C329" s="4">
        <v>85</v>
      </c>
      <c r="D329" s="5">
        <v>42080</v>
      </c>
      <c r="E329" s="8" t="s">
        <v>10</v>
      </c>
      <c r="F329" s="4" t="s">
        <v>11</v>
      </c>
      <c r="G329" s="20">
        <v>3.55</v>
      </c>
      <c r="H329" s="20">
        <v>0.43</v>
      </c>
      <c r="I329" s="20">
        <v>0.83779999999999999</v>
      </c>
      <c r="J329" s="20">
        <v>1.8602000000000001</v>
      </c>
    </row>
    <row r="330" spans="1:10" x14ac:dyDescent="0.25">
      <c r="A330" s="3" t="s">
        <v>30</v>
      </c>
      <c r="B330" s="3" t="s">
        <v>31</v>
      </c>
      <c r="C330" s="4">
        <v>86</v>
      </c>
      <c r="D330" s="5">
        <v>42080</v>
      </c>
      <c r="E330" s="8" t="s">
        <v>10</v>
      </c>
      <c r="F330" s="4" t="s">
        <v>9</v>
      </c>
      <c r="G330" s="20">
        <v>1.31</v>
      </c>
      <c r="H330" s="20">
        <v>0.14000000000000001</v>
      </c>
      <c r="I330" s="20">
        <v>0.17946999999999999</v>
      </c>
      <c r="J330" s="20">
        <v>0.59997999999999996</v>
      </c>
    </row>
    <row r="331" spans="1:10" x14ac:dyDescent="0.25">
      <c r="A331" s="3" t="s">
        <v>30</v>
      </c>
      <c r="B331" s="3" t="s">
        <v>31</v>
      </c>
      <c r="C331" s="4">
        <v>87</v>
      </c>
      <c r="D331" s="5">
        <v>42080</v>
      </c>
      <c r="E331" s="8" t="s">
        <v>10</v>
      </c>
      <c r="F331" s="4" t="s">
        <v>9</v>
      </c>
      <c r="G331" s="20">
        <v>2.1</v>
      </c>
      <c r="H331" s="20">
        <v>0.55000000000000004</v>
      </c>
      <c r="I331" s="20">
        <v>0.20244000000000001</v>
      </c>
      <c r="J331" s="20">
        <v>1.0983000000000001</v>
      </c>
    </row>
    <row r="332" spans="1:10" x14ac:dyDescent="0.25">
      <c r="A332" s="3" t="s">
        <v>30</v>
      </c>
      <c r="B332" s="3" t="s">
        <v>31</v>
      </c>
      <c r="C332" s="4">
        <v>127</v>
      </c>
      <c r="D332" s="5">
        <v>42101</v>
      </c>
      <c r="E332" s="3" t="s">
        <v>7</v>
      </c>
      <c r="F332" s="4" t="s">
        <v>8</v>
      </c>
      <c r="G332" s="20">
        <v>3.89</v>
      </c>
      <c r="H332" s="20">
        <v>0.28000000000000003</v>
      </c>
      <c r="I332" s="20">
        <v>0.97638999999999998</v>
      </c>
      <c r="J332" s="20">
        <v>1.59101</v>
      </c>
    </row>
    <row r="333" spans="1:10" x14ac:dyDescent="0.25">
      <c r="A333" s="3" t="s">
        <v>30</v>
      </c>
      <c r="B333" s="3" t="s">
        <v>31</v>
      </c>
      <c r="C333" s="4">
        <v>128</v>
      </c>
      <c r="D333" s="5">
        <v>42101</v>
      </c>
      <c r="E333" s="3" t="s">
        <v>7</v>
      </c>
      <c r="F333" s="4" t="s">
        <v>32</v>
      </c>
      <c r="G333" s="20">
        <v>4.2</v>
      </c>
      <c r="H333" s="20">
        <v>0.21</v>
      </c>
      <c r="I333" s="20">
        <v>1.4027999999999998</v>
      </c>
      <c r="J333" s="20">
        <v>1.5414000000000003</v>
      </c>
    </row>
    <row r="334" spans="1:10" x14ac:dyDescent="0.25">
      <c r="A334" s="3" t="s">
        <v>30</v>
      </c>
      <c r="B334" s="3" t="s">
        <v>31</v>
      </c>
      <c r="C334" s="4">
        <v>129</v>
      </c>
      <c r="D334" s="5">
        <v>42101</v>
      </c>
      <c r="E334" s="3" t="s">
        <v>7</v>
      </c>
      <c r="F334" s="4" t="s">
        <v>32</v>
      </c>
      <c r="G334" s="20">
        <v>3.01</v>
      </c>
      <c r="H334" s="20">
        <v>0.27</v>
      </c>
      <c r="I334" s="20">
        <v>0.44548000000000004</v>
      </c>
      <c r="J334" s="20">
        <v>1.0474799999999997</v>
      </c>
    </row>
    <row r="335" spans="1:10" x14ac:dyDescent="0.25">
      <c r="A335" s="3" t="s">
        <v>30</v>
      </c>
      <c r="B335" s="3" t="s">
        <v>31</v>
      </c>
      <c r="C335" s="4">
        <v>130</v>
      </c>
      <c r="D335" s="5">
        <v>42101</v>
      </c>
      <c r="E335" s="3" t="s">
        <v>7</v>
      </c>
      <c r="F335" s="4" t="s">
        <v>32</v>
      </c>
      <c r="G335" s="20">
        <v>4.88</v>
      </c>
      <c r="H335" s="20">
        <v>0.49</v>
      </c>
      <c r="I335" s="20">
        <v>1.0931199999999999</v>
      </c>
      <c r="J335" s="20">
        <v>1.89832</v>
      </c>
    </row>
    <row r="336" spans="1:10" x14ac:dyDescent="0.25">
      <c r="A336" s="3" t="s">
        <v>30</v>
      </c>
      <c r="B336" s="3" t="s">
        <v>31</v>
      </c>
      <c r="C336" s="4">
        <v>131</v>
      </c>
      <c r="D336" s="5">
        <v>42101</v>
      </c>
      <c r="E336" s="3" t="s">
        <v>7</v>
      </c>
      <c r="F336" s="4" t="s">
        <v>8</v>
      </c>
      <c r="G336" s="20">
        <v>2.9</v>
      </c>
      <c r="H336" s="20">
        <v>0.13</v>
      </c>
      <c r="I336" s="20">
        <v>0.76560000000000006</v>
      </c>
      <c r="J336" s="20">
        <v>1.1425999999999998</v>
      </c>
    </row>
    <row r="337" spans="1:10" x14ac:dyDescent="0.25">
      <c r="A337" s="3" t="s">
        <v>30</v>
      </c>
      <c r="B337" s="3" t="s">
        <v>31</v>
      </c>
      <c r="C337" s="4">
        <v>132</v>
      </c>
      <c r="D337" s="5">
        <v>42101</v>
      </c>
      <c r="E337" s="3" t="s">
        <v>7</v>
      </c>
      <c r="F337" s="4" t="s">
        <v>11</v>
      </c>
      <c r="G337" s="20">
        <v>2.91</v>
      </c>
      <c r="H337" s="20">
        <v>0.38</v>
      </c>
      <c r="I337" s="20">
        <v>0.78278999999999987</v>
      </c>
      <c r="J337" s="20">
        <v>1.1028900000000001</v>
      </c>
    </row>
    <row r="338" spans="1:10" x14ac:dyDescent="0.25">
      <c r="A338" s="3" t="s">
        <v>30</v>
      </c>
      <c r="B338" s="3" t="s">
        <v>31</v>
      </c>
      <c r="C338" s="4">
        <v>133</v>
      </c>
      <c r="D338" s="5">
        <v>42101</v>
      </c>
      <c r="E338" s="3" t="s">
        <v>10</v>
      </c>
      <c r="F338" s="4" t="s">
        <v>8</v>
      </c>
      <c r="G338" s="20">
        <v>4.63</v>
      </c>
      <c r="H338" s="20">
        <v>0.35</v>
      </c>
      <c r="I338" s="20">
        <v>1.23621</v>
      </c>
      <c r="J338" s="20">
        <v>2.25481</v>
      </c>
    </row>
    <row r="339" spans="1:10" x14ac:dyDescent="0.25">
      <c r="A339" s="3" t="s">
        <v>30</v>
      </c>
      <c r="B339" s="3" t="s">
        <v>31</v>
      </c>
      <c r="C339" s="4">
        <v>134</v>
      </c>
      <c r="D339" s="5">
        <v>42101</v>
      </c>
      <c r="E339" s="3" t="s">
        <v>10</v>
      </c>
      <c r="F339" s="4" t="s">
        <v>32</v>
      </c>
      <c r="G339" s="20">
        <v>5.07</v>
      </c>
      <c r="H339" s="20">
        <v>0.25</v>
      </c>
      <c r="I339" s="20">
        <v>1.5463500000000001</v>
      </c>
      <c r="J339" s="20">
        <v>2.4488099999999999</v>
      </c>
    </row>
    <row r="340" spans="1:10" x14ac:dyDescent="0.25">
      <c r="A340" s="3" t="s">
        <v>30</v>
      </c>
      <c r="B340" s="3" t="s">
        <v>31</v>
      </c>
      <c r="C340" s="4">
        <v>135</v>
      </c>
      <c r="D340" s="5">
        <v>42101</v>
      </c>
      <c r="E340" s="3" t="s">
        <v>10</v>
      </c>
      <c r="F340" s="4" t="s">
        <v>32</v>
      </c>
      <c r="G340" s="20">
        <v>2.95</v>
      </c>
      <c r="H340" s="20">
        <v>0.32</v>
      </c>
      <c r="I340" s="20">
        <v>0.82304999999999995</v>
      </c>
      <c r="J340" s="20">
        <v>1.3717500000000002</v>
      </c>
    </row>
    <row r="341" spans="1:10" x14ac:dyDescent="0.25">
      <c r="A341" s="3" t="s">
        <v>30</v>
      </c>
      <c r="B341" s="3" t="s">
        <v>31</v>
      </c>
      <c r="C341" s="4">
        <v>136</v>
      </c>
      <c r="D341" s="5">
        <v>42101</v>
      </c>
      <c r="E341" s="3" t="s">
        <v>10</v>
      </c>
      <c r="F341" s="4" t="s">
        <v>32</v>
      </c>
      <c r="G341" s="20">
        <v>2.68</v>
      </c>
      <c r="H341" s="20">
        <v>0.63</v>
      </c>
      <c r="I341" s="20">
        <v>0.26505200000000001</v>
      </c>
      <c r="J341" s="20">
        <v>1.1926000000000001</v>
      </c>
    </row>
    <row r="342" spans="1:10" x14ac:dyDescent="0.25">
      <c r="A342" s="3" t="s">
        <v>30</v>
      </c>
      <c r="B342" s="3" t="s">
        <v>31</v>
      </c>
      <c r="C342" s="4">
        <v>137</v>
      </c>
      <c r="D342" s="5">
        <v>42101</v>
      </c>
      <c r="E342" s="3" t="s">
        <v>10</v>
      </c>
      <c r="F342" s="4" t="s">
        <v>32</v>
      </c>
      <c r="G342" s="20">
        <v>3.48</v>
      </c>
      <c r="H342" s="20">
        <v>0.69</v>
      </c>
      <c r="I342" s="20">
        <v>0.55332000000000003</v>
      </c>
      <c r="J342" s="20">
        <v>1.80264</v>
      </c>
    </row>
    <row r="343" spans="1:10" x14ac:dyDescent="0.25">
      <c r="A343" s="3" t="s">
        <v>30</v>
      </c>
      <c r="B343" s="3" t="s">
        <v>31</v>
      </c>
      <c r="C343" s="4">
        <v>138</v>
      </c>
      <c r="D343" s="5">
        <v>42101</v>
      </c>
      <c r="E343" s="3" t="s">
        <v>10</v>
      </c>
      <c r="F343" s="4" t="s">
        <v>8</v>
      </c>
      <c r="G343" s="20">
        <v>3.06</v>
      </c>
      <c r="H343" s="20">
        <v>0.24</v>
      </c>
      <c r="I343" s="20">
        <v>0.71298000000000006</v>
      </c>
      <c r="J343" s="20">
        <v>1.6952399999999999</v>
      </c>
    </row>
    <row r="344" spans="1:10" x14ac:dyDescent="0.25">
      <c r="A344" s="3" t="s">
        <v>30</v>
      </c>
      <c r="B344" s="3" t="s">
        <v>31</v>
      </c>
      <c r="C344" s="4">
        <v>139</v>
      </c>
      <c r="D344" s="5">
        <v>42101</v>
      </c>
      <c r="E344" s="3" t="s">
        <v>10</v>
      </c>
      <c r="F344" s="4" t="s">
        <v>11</v>
      </c>
      <c r="G344" s="20">
        <v>2.8</v>
      </c>
      <c r="H344" s="20">
        <v>0.19</v>
      </c>
      <c r="I344" s="20">
        <v>0.39759999999999995</v>
      </c>
      <c r="J344" s="20">
        <v>1.6043999999999998</v>
      </c>
    </row>
    <row r="345" spans="1:10" x14ac:dyDescent="0.25">
      <c r="A345" s="3" t="s">
        <v>30</v>
      </c>
      <c r="B345" s="3" t="s">
        <v>31</v>
      </c>
      <c r="C345" s="4">
        <v>345</v>
      </c>
      <c r="D345" s="5">
        <v>42020</v>
      </c>
      <c r="E345" s="8" t="s">
        <v>7</v>
      </c>
      <c r="F345" s="4" t="s">
        <v>8</v>
      </c>
      <c r="G345" s="25">
        <v>2.67</v>
      </c>
      <c r="H345" s="26">
        <v>0.32</v>
      </c>
      <c r="I345" s="20">
        <v>1.0519799999999999</v>
      </c>
      <c r="J345" s="20">
        <v>0.88910999999999984</v>
      </c>
    </row>
    <row r="346" spans="1:10" x14ac:dyDescent="0.25">
      <c r="A346" s="3" t="s">
        <v>30</v>
      </c>
      <c r="B346" s="3" t="s">
        <v>31</v>
      </c>
      <c r="C346" s="14">
        <v>346</v>
      </c>
      <c r="D346" s="5">
        <v>42020</v>
      </c>
      <c r="E346" s="15" t="s">
        <v>7</v>
      </c>
      <c r="F346" s="4" t="s">
        <v>8</v>
      </c>
      <c r="G346" s="25">
        <v>3.57</v>
      </c>
      <c r="H346" s="26">
        <v>0.43</v>
      </c>
      <c r="I346" s="20">
        <v>1.3209</v>
      </c>
      <c r="J346" s="20">
        <v>1.1424000000000001</v>
      </c>
    </row>
    <row r="347" spans="1:10" x14ac:dyDescent="0.25">
      <c r="A347" s="3" t="s">
        <v>30</v>
      </c>
      <c r="B347" s="3" t="s">
        <v>31</v>
      </c>
      <c r="C347" s="14">
        <v>347</v>
      </c>
      <c r="D347" s="5">
        <v>42020</v>
      </c>
      <c r="E347" s="15" t="s">
        <v>7</v>
      </c>
      <c r="F347" s="4" t="s">
        <v>8</v>
      </c>
      <c r="G347" s="25">
        <v>3.54</v>
      </c>
      <c r="H347" s="25">
        <v>0.47</v>
      </c>
      <c r="I347" s="20">
        <v>1.3168800000000003</v>
      </c>
      <c r="J347" s="20">
        <v>1.12218</v>
      </c>
    </row>
    <row r="348" spans="1:10" x14ac:dyDescent="0.25">
      <c r="A348" s="3" t="s">
        <v>30</v>
      </c>
      <c r="B348" s="3" t="s">
        <v>31</v>
      </c>
      <c r="C348" s="14">
        <v>348</v>
      </c>
      <c r="D348" s="5">
        <v>42020</v>
      </c>
      <c r="E348" s="15" t="s">
        <v>7</v>
      </c>
      <c r="F348" s="4" t="s">
        <v>11</v>
      </c>
      <c r="G348" s="25">
        <v>3.59</v>
      </c>
      <c r="H348" s="26">
        <v>0.23</v>
      </c>
      <c r="I348" s="20">
        <v>1.3211199999999999</v>
      </c>
      <c r="J348" s="20">
        <v>1.3749699999999998</v>
      </c>
    </row>
    <row r="349" spans="1:10" x14ac:dyDescent="0.25">
      <c r="A349" s="3" t="s">
        <v>30</v>
      </c>
      <c r="B349" s="3" t="s">
        <v>31</v>
      </c>
      <c r="C349" s="14">
        <v>349</v>
      </c>
      <c r="D349" s="5">
        <v>42020</v>
      </c>
      <c r="E349" s="15" t="s">
        <v>7</v>
      </c>
      <c r="F349" s="4" t="s">
        <v>11</v>
      </c>
      <c r="G349" s="25">
        <v>2.33</v>
      </c>
      <c r="H349" s="26">
        <v>0.69</v>
      </c>
      <c r="I349" s="20">
        <v>0.73394999999999999</v>
      </c>
      <c r="J349" s="20">
        <v>0.85277999999999998</v>
      </c>
    </row>
    <row r="350" spans="1:10" x14ac:dyDescent="0.25">
      <c r="A350" s="3" t="s">
        <v>30</v>
      </c>
      <c r="B350" s="3" t="s">
        <v>31</v>
      </c>
      <c r="C350" s="14">
        <v>351</v>
      </c>
      <c r="D350" s="5">
        <v>42020</v>
      </c>
      <c r="E350" s="15" t="s">
        <v>10</v>
      </c>
      <c r="F350" s="14" t="s">
        <v>8</v>
      </c>
      <c r="G350" s="25">
        <v>3.36</v>
      </c>
      <c r="H350" s="23">
        <v>0.56000000000000005</v>
      </c>
      <c r="I350" s="20">
        <v>1.05504</v>
      </c>
      <c r="J350" s="20">
        <v>1.3876799999999998</v>
      </c>
    </row>
    <row r="351" spans="1:10" x14ac:dyDescent="0.25">
      <c r="A351" s="3" t="s">
        <v>30</v>
      </c>
      <c r="B351" s="3" t="s">
        <v>31</v>
      </c>
      <c r="C351" s="4">
        <v>393</v>
      </c>
      <c r="D351" s="5">
        <v>41976</v>
      </c>
      <c r="E351" s="8" t="s">
        <v>10</v>
      </c>
      <c r="F351" s="4" t="s">
        <v>8</v>
      </c>
      <c r="G351" s="20">
        <v>2.64</v>
      </c>
      <c r="H351" s="20">
        <v>0.47</v>
      </c>
      <c r="I351" s="20">
        <v>0.5438400000000001</v>
      </c>
      <c r="J351" s="20">
        <v>1.3411200000000001</v>
      </c>
    </row>
    <row r="352" spans="1:10" x14ac:dyDescent="0.25">
      <c r="A352" s="3" t="s">
        <v>30</v>
      </c>
      <c r="B352" s="3" t="s">
        <v>31</v>
      </c>
      <c r="C352" s="4">
        <v>394</v>
      </c>
      <c r="D352" s="5">
        <v>41978</v>
      </c>
      <c r="E352" s="8" t="s">
        <v>10</v>
      </c>
      <c r="F352" s="4" t="s">
        <v>8</v>
      </c>
      <c r="G352" s="20">
        <v>3.46</v>
      </c>
      <c r="H352" s="20">
        <v>0.2</v>
      </c>
      <c r="I352" s="20">
        <v>1.0829800000000001</v>
      </c>
      <c r="J352" s="20">
        <v>1.4878</v>
      </c>
    </row>
    <row r="353" spans="1:10" x14ac:dyDescent="0.25">
      <c r="A353" s="3" t="s">
        <v>30</v>
      </c>
      <c r="B353" s="3" t="s">
        <v>31</v>
      </c>
      <c r="C353" s="4">
        <v>395</v>
      </c>
      <c r="D353" s="5">
        <v>41978</v>
      </c>
      <c r="E353" s="8" t="s">
        <v>10</v>
      </c>
      <c r="F353" s="4" t="s">
        <v>8</v>
      </c>
      <c r="G353" s="20">
        <v>2.94</v>
      </c>
      <c r="H353" s="20">
        <v>0.21</v>
      </c>
      <c r="I353" s="20">
        <v>0.8261400000000001</v>
      </c>
      <c r="J353" s="20">
        <v>1.4082599999999998</v>
      </c>
    </row>
    <row r="354" spans="1:10" x14ac:dyDescent="0.25">
      <c r="A354" s="3" t="s">
        <v>30</v>
      </c>
      <c r="B354" s="3" t="s">
        <v>31</v>
      </c>
      <c r="C354" s="4">
        <v>417</v>
      </c>
      <c r="D354" s="13"/>
      <c r="E354" s="3" t="s">
        <v>10</v>
      </c>
      <c r="F354" s="4" t="s">
        <v>8</v>
      </c>
      <c r="G354" s="20">
        <v>5.79</v>
      </c>
      <c r="H354" s="20">
        <v>0.69</v>
      </c>
      <c r="I354" s="20">
        <v>2.26389</v>
      </c>
      <c r="J354" s="20">
        <v>2.2696800000000001</v>
      </c>
    </row>
    <row r="355" spans="1:10" x14ac:dyDescent="0.25">
      <c r="A355" s="3" t="s">
        <v>30</v>
      </c>
      <c r="B355" s="3" t="s">
        <v>31</v>
      </c>
      <c r="C355" s="4">
        <v>418</v>
      </c>
      <c r="D355" s="13"/>
      <c r="E355" s="3" t="s">
        <v>10</v>
      </c>
      <c r="F355" s="4" t="s">
        <v>8</v>
      </c>
      <c r="G355" s="20">
        <v>5.17</v>
      </c>
      <c r="H355" s="20">
        <v>0.74</v>
      </c>
      <c r="I355" s="20">
        <v>1.93875</v>
      </c>
      <c r="J355" s="20">
        <v>2.16106</v>
      </c>
    </row>
    <row r="356" spans="1:10" x14ac:dyDescent="0.25">
      <c r="A356" s="3" t="s">
        <v>30</v>
      </c>
      <c r="B356" s="3" t="s">
        <v>31</v>
      </c>
      <c r="C356" s="4">
        <v>419</v>
      </c>
      <c r="D356" s="13"/>
      <c r="E356" s="3" t="s">
        <v>10</v>
      </c>
      <c r="F356" s="4" t="s">
        <v>8</v>
      </c>
      <c r="G356" s="20">
        <v>3.72</v>
      </c>
      <c r="H356" s="20">
        <v>0.21</v>
      </c>
      <c r="I356" s="20">
        <v>1.2090000000000001</v>
      </c>
      <c r="J356" s="20">
        <v>1.85256</v>
      </c>
    </row>
    <row r="357" spans="1:10" x14ac:dyDescent="0.25">
      <c r="A357" s="3" t="s">
        <v>30</v>
      </c>
      <c r="B357" s="3" t="s">
        <v>31</v>
      </c>
      <c r="C357" s="4">
        <v>420</v>
      </c>
      <c r="D357" s="13"/>
      <c r="E357" s="3" t="s">
        <v>10</v>
      </c>
      <c r="F357" s="4" t="s">
        <v>9</v>
      </c>
      <c r="G357" s="20">
        <v>3.55</v>
      </c>
      <c r="H357" s="20">
        <v>0.7</v>
      </c>
      <c r="I357" s="20">
        <v>0.74549999999999994</v>
      </c>
      <c r="J357" s="20">
        <v>1.8566499999999999</v>
      </c>
    </row>
    <row r="358" spans="1:10" x14ac:dyDescent="0.25">
      <c r="A358" s="3" t="s">
        <v>30</v>
      </c>
      <c r="B358" s="3" t="s">
        <v>31</v>
      </c>
      <c r="C358" s="4">
        <v>421</v>
      </c>
      <c r="D358" s="13"/>
      <c r="E358" s="3" t="s">
        <v>10</v>
      </c>
      <c r="F358" s="4" t="s">
        <v>9</v>
      </c>
      <c r="G358" s="20">
        <v>2.72</v>
      </c>
      <c r="H358" s="20">
        <v>0.41</v>
      </c>
      <c r="I358" s="20">
        <v>0.59023999999999999</v>
      </c>
      <c r="J358" s="20">
        <v>1.3328</v>
      </c>
    </row>
    <row r="359" spans="1:10" x14ac:dyDescent="0.25">
      <c r="A359" s="3" t="s">
        <v>30</v>
      </c>
      <c r="B359" s="3" t="s">
        <v>31</v>
      </c>
      <c r="C359" s="4">
        <v>422</v>
      </c>
      <c r="D359" s="13"/>
      <c r="E359" s="3" t="s">
        <v>10</v>
      </c>
      <c r="F359" s="4" t="s">
        <v>9</v>
      </c>
      <c r="G359" s="20">
        <v>3.24</v>
      </c>
      <c r="H359" s="20">
        <v>0.21</v>
      </c>
      <c r="I359" s="20">
        <v>0.78084000000000009</v>
      </c>
      <c r="J359" s="20">
        <v>1.5973200000000001</v>
      </c>
    </row>
    <row r="360" spans="1:10" x14ac:dyDescent="0.25">
      <c r="A360" s="3" t="s">
        <v>30</v>
      </c>
      <c r="B360" s="3" t="s">
        <v>31</v>
      </c>
      <c r="C360" s="4">
        <v>423</v>
      </c>
      <c r="D360" s="13"/>
      <c r="E360" s="3" t="s">
        <v>10</v>
      </c>
      <c r="F360" s="4" t="s">
        <v>8</v>
      </c>
      <c r="G360" s="20">
        <v>5.69</v>
      </c>
      <c r="H360" s="20">
        <v>0.56999999999999995</v>
      </c>
      <c r="I360" s="20">
        <v>2.15082</v>
      </c>
      <c r="J360" s="20">
        <v>2.2816900000000002</v>
      </c>
    </row>
    <row r="361" spans="1:10" x14ac:dyDescent="0.25">
      <c r="A361" s="3" t="s">
        <v>30</v>
      </c>
      <c r="B361" s="3" t="s">
        <v>31</v>
      </c>
      <c r="C361" s="4">
        <v>424</v>
      </c>
      <c r="D361" s="13"/>
      <c r="E361" s="3" t="s">
        <v>10</v>
      </c>
      <c r="F361" s="4" t="s">
        <v>8</v>
      </c>
      <c r="G361" s="20">
        <v>3.8</v>
      </c>
      <c r="H361" s="20">
        <v>0.33</v>
      </c>
      <c r="I361" s="20">
        <v>1.5009999999999999</v>
      </c>
      <c r="J361" s="20">
        <v>1.3261999999999998</v>
      </c>
    </row>
    <row r="362" spans="1:10" x14ac:dyDescent="0.25">
      <c r="A362" s="3" t="s">
        <v>30</v>
      </c>
      <c r="B362" s="3" t="s">
        <v>31</v>
      </c>
      <c r="C362" s="4">
        <v>425</v>
      </c>
      <c r="D362" s="13"/>
      <c r="E362" s="3" t="s">
        <v>10</v>
      </c>
      <c r="F362" s="4" t="s">
        <v>8</v>
      </c>
      <c r="G362" s="20">
        <v>2.87</v>
      </c>
      <c r="H362" s="20">
        <v>0.08</v>
      </c>
      <c r="I362" s="20">
        <v>1.1422599999999998</v>
      </c>
      <c r="J362" s="20">
        <v>1.0906</v>
      </c>
    </row>
    <row r="363" spans="1:10" x14ac:dyDescent="0.25">
      <c r="A363" s="3" t="s">
        <v>30</v>
      </c>
      <c r="B363" s="3" t="s">
        <v>31</v>
      </c>
      <c r="C363" s="4">
        <v>426</v>
      </c>
      <c r="D363" s="13"/>
      <c r="E363" s="3" t="s">
        <v>10</v>
      </c>
      <c r="F363" s="4" t="s">
        <v>9</v>
      </c>
      <c r="G363" s="20">
        <v>1.89</v>
      </c>
      <c r="H363" s="20">
        <v>0.62</v>
      </c>
      <c r="I363" s="20">
        <v>0.11283299999999999</v>
      </c>
      <c r="J363" s="20">
        <v>0.88263000000000003</v>
      </c>
    </row>
    <row r="364" spans="1:10" x14ac:dyDescent="0.25">
      <c r="A364" s="3" t="s">
        <v>30</v>
      </c>
      <c r="B364" s="3" t="s">
        <v>31</v>
      </c>
      <c r="C364" s="4">
        <v>427</v>
      </c>
      <c r="D364" s="13"/>
      <c r="E364" s="3" t="s">
        <v>10</v>
      </c>
      <c r="F364" s="4" t="s">
        <v>9</v>
      </c>
      <c r="G364" s="20">
        <v>2.14</v>
      </c>
      <c r="H364" s="20">
        <v>0.68</v>
      </c>
      <c r="I364" s="20">
        <v>0.29746000000000006</v>
      </c>
      <c r="J364" s="20">
        <v>1.0272000000000001</v>
      </c>
    </row>
    <row r="365" spans="1:10" x14ac:dyDescent="0.25">
      <c r="A365" s="3" t="s">
        <v>30</v>
      </c>
      <c r="B365" s="3" t="s">
        <v>31</v>
      </c>
      <c r="C365" s="4">
        <v>428</v>
      </c>
      <c r="D365" s="13"/>
      <c r="E365" s="3" t="s">
        <v>10</v>
      </c>
      <c r="F365" s="4" t="s">
        <v>9</v>
      </c>
      <c r="G365" s="20">
        <v>1.44</v>
      </c>
      <c r="H365" s="20">
        <v>0.28000000000000003</v>
      </c>
      <c r="I365" s="20">
        <v>0.22175999999999998</v>
      </c>
      <c r="J365" s="20">
        <v>0.51119999999999999</v>
      </c>
    </row>
    <row r="366" spans="1:10" x14ac:dyDescent="0.25">
      <c r="A366" s="3" t="s">
        <v>30</v>
      </c>
      <c r="B366" s="3" t="s">
        <v>31</v>
      </c>
      <c r="C366" s="4">
        <v>429</v>
      </c>
      <c r="D366" s="13"/>
      <c r="E366" s="3" t="s">
        <v>10</v>
      </c>
      <c r="F366" s="4" t="s">
        <v>8</v>
      </c>
      <c r="G366" s="20">
        <v>2.97</v>
      </c>
      <c r="H366" s="20">
        <v>0.49</v>
      </c>
      <c r="I366" s="20">
        <v>0.89397000000000004</v>
      </c>
      <c r="J366" s="20">
        <v>1.24146</v>
      </c>
    </row>
    <row r="367" spans="1:10" x14ac:dyDescent="0.25">
      <c r="A367" s="3" t="s">
        <v>30</v>
      </c>
      <c r="B367" s="3" t="s">
        <v>31</v>
      </c>
      <c r="C367" s="4">
        <v>430</v>
      </c>
      <c r="D367" s="13"/>
      <c r="E367" s="3" t="s">
        <v>7</v>
      </c>
      <c r="F367" s="4" t="s">
        <v>8</v>
      </c>
      <c r="G367" s="20">
        <v>2.44</v>
      </c>
      <c r="H367" s="20">
        <v>0.18</v>
      </c>
      <c r="I367" s="20">
        <v>0.86131999999999997</v>
      </c>
      <c r="J367" s="20">
        <v>0.96379999999999999</v>
      </c>
    </row>
    <row r="368" spans="1:10" x14ac:dyDescent="0.25">
      <c r="A368" s="3" t="s">
        <v>30</v>
      </c>
      <c r="B368" s="3" t="s">
        <v>31</v>
      </c>
      <c r="C368" s="4">
        <v>431</v>
      </c>
      <c r="D368" s="13"/>
      <c r="E368" s="3" t="s">
        <v>7</v>
      </c>
      <c r="F368" s="4" t="s">
        <v>8</v>
      </c>
      <c r="G368" s="20">
        <v>3.25</v>
      </c>
      <c r="H368" s="20">
        <v>0.21</v>
      </c>
      <c r="I368" s="20">
        <v>1.27075</v>
      </c>
      <c r="J368" s="20">
        <v>1.248</v>
      </c>
    </row>
    <row r="369" spans="1:10" x14ac:dyDescent="0.25">
      <c r="A369" s="3" t="s">
        <v>30</v>
      </c>
      <c r="B369" s="3" t="s">
        <v>31</v>
      </c>
      <c r="C369" s="4">
        <v>432</v>
      </c>
      <c r="D369" s="13"/>
      <c r="E369" s="3" t="s">
        <v>7</v>
      </c>
      <c r="F369" s="4" t="s">
        <v>9</v>
      </c>
      <c r="G369" s="20">
        <v>1.89</v>
      </c>
      <c r="H369" s="20">
        <v>0.24</v>
      </c>
      <c r="I369" s="20">
        <v>0.36476999999999998</v>
      </c>
      <c r="J369" s="20">
        <v>0.64260000000000006</v>
      </c>
    </row>
    <row r="370" spans="1:10" x14ac:dyDescent="0.25">
      <c r="A370" s="3" t="s">
        <v>30</v>
      </c>
      <c r="B370" s="3" t="s">
        <v>31</v>
      </c>
      <c r="C370" s="4">
        <v>433</v>
      </c>
      <c r="D370" s="13"/>
      <c r="E370" s="3" t="s">
        <v>7</v>
      </c>
      <c r="F370" s="4" t="s">
        <v>9</v>
      </c>
      <c r="G370" s="20">
        <v>3.57</v>
      </c>
      <c r="H370" s="20">
        <v>0.47</v>
      </c>
      <c r="I370" s="20">
        <v>0.94962000000000002</v>
      </c>
      <c r="J370" s="20">
        <v>1.3673099999999998</v>
      </c>
    </row>
    <row r="371" spans="1:10" x14ac:dyDescent="0.25">
      <c r="A371" s="3" t="s">
        <v>30</v>
      </c>
      <c r="B371" s="3" t="s">
        <v>31</v>
      </c>
      <c r="C371" s="4">
        <v>489</v>
      </c>
      <c r="D371" s="5">
        <v>42073</v>
      </c>
      <c r="E371" s="3" t="s">
        <v>7</v>
      </c>
      <c r="F371" s="4" t="s">
        <v>8</v>
      </c>
      <c r="G371" s="20">
        <v>3.8</v>
      </c>
      <c r="H371" s="20">
        <v>0.14000000000000001</v>
      </c>
      <c r="I371" s="20">
        <v>1.3033999999999999</v>
      </c>
      <c r="J371" s="20">
        <v>1.5503999999999998</v>
      </c>
    </row>
    <row r="372" spans="1:10" x14ac:dyDescent="0.25">
      <c r="A372" s="3" t="s">
        <v>30</v>
      </c>
      <c r="B372" s="3" t="s">
        <v>31</v>
      </c>
      <c r="C372" s="4">
        <v>490</v>
      </c>
      <c r="D372" s="5">
        <v>42073</v>
      </c>
      <c r="E372" s="3" t="s">
        <v>7</v>
      </c>
      <c r="F372" s="4" t="s">
        <v>9</v>
      </c>
      <c r="G372" s="20">
        <v>2.2400000000000002</v>
      </c>
      <c r="H372" s="20">
        <v>0.22</v>
      </c>
      <c r="I372" s="20">
        <v>0.57344000000000006</v>
      </c>
      <c r="J372" s="20">
        <v>0.78400000000000003</v>
      </c>
    </row>
    <row r="373" spans="1:10" x14ac:dyDescent="0.25">
      <c r="A373" s="3" t="s">
        <v>30</v>
      </c>
      <c r="B373" s="3" t="s">
        <v>31</v>
      </c>
      <c r="C373" s="4">
        <v>491</v>
      </c>
      <c r="D373" s="5">
        <v>42076</v>
      </c>
      <c r="E373" s="3" t="s">
        <v>10</v>
      </c>
      <c r="F373" s="4" t="s">
        <v>8</v>
      </c>
      <c r="G373" s="20">
        <v>4.8099999999999996</v>
      </c>
      <c r="H373" s="20">
        <v>0.36</v>
      </c>
      <c r="I373" s="20">
        <v>1.52477</v>
      </c>
      <c r="J373" s="20">
        <v>2.1500699999999999</v>
      </c>
    </row>
    <row r="374" spans="1:10" x14ac:dyDescent="0.25">
      <c r="A374" s="3" t="s">
        <v>30</v>
      </c>
      <c r="B374" s="3" t="s">
        <v>31</v>
      </c>
      <c r="C374" s="4">
        <v>492</v>
      </c>
      <c r="D374" s="5">
        <v>42076</v>
      </c>
      <c r="E374" s="3" t="s">
        <v>10</v>
      </c>
      <c r="F374" s="4" t="s">
        <v>9</v>
      </c>
      <c r="G374" s="20">
        <v>3.75</v>
      </c>
      <c r="H374" s="20">
        <v>0.49</v>
      </c>
      <c r="I374" s="20">
        <v>0.70499999999999996</v>
      </c>
      <c r="J374" s="20">
        <v>1.9762500000000001</v>
      </c>
    </row>
    <row r="375" spans="1:10" x14ac:dyDescent="0.25">
      <c r="A375" s="3" t="s">
        <v>30</v>
      </c>
      <c r="B375" s="3" t="s">
        <v>31</v>
      </c>
      <c r="C375" s="4">
        <v>493</v>
      </c>
      <c r="D375" s="5">
        <v>42076</v>
      </c>
      <c r="E375" s="3" t="s">
        <v>10</v>
      </c>
      <c r="F375" s="4" t="s">
        <v>9</v>
      </c>
      <c r="G375" s="20">
        <v>2.85</v>
      </c>
      <c r="H375" s="20">
        <v>0.57999999999999996</v>
      </c>
      <c r="I375" s="20">
        <v>0.44175000000000003</v>
      </c>
      <c r="J375" s="20">
        <v>1.4107499999999999</v>
      </c>
    </row>
    <row r="376" spans="1:10" x14ac:dyDescent="0.25">
      <c r="A376" s="3" t="s">
        <v>30</v>
      </c>
      <c r="B376" s="3" t="s">
        <v>31</v>
      </c>
      <c r="C376" s="4">
        <v>733</v>
      </c>
      <c r="D376" s="5">
        <v>42044</v>
      </c>
      <c r="E376" s="3" t="s">
        <v>7</v>
      </c>
      <c r="F376" s="4" t="s">
        <v>8</v>
      </c>
      <c r="G376" s="20">
        <v>1.7</v>
      </c>
      <c r="H376" s="20">
        <v>0.19</v>
      </c>
      <c r="I376" s="20">
        <v>0.50829999999999997</v>
      </c>
      <c r="J376" s="20">
        <v>0.57120000000000004</v>
      </c>
    </row>
    <row r="377" spans="1:10" x14ac:dyDescent="0.25">
      <c r="A377" s="3" t="s">
        <v>30</v>
      </c>
      <c r="B377" s="3" t="s">
        <v>31</v>
      </c>
      <c r="C377" s="4">
        <v>734</v>
      </c>
      <c r="D377" s="5">
        <v>42044</v>
      </c>
      <c r="E377" s="3" t="s">
        <v>7</v>
      </c>
      <c r="F377" s="4" t="s">
        <v>9</v>
      </c>
      <c r="G377" s="20">
        <v>1.25</v>
      </c>
      <c r="H377" s="20">
        <v>0.62</v>
      </c>
      <c r="I377" s="20">
        <v>0.114375</v>
      </c>
      <c r="J377" s="20">
        <v>0.36749999999999999</v>
      </c>
    </row>
    <row r="378" spans="1:10" x14ac:dyDescent="0.25">
      <c r="A378" s="3" t="s">
        <v>30</v>
      </c>
      <c r="B378" s="3" t="s">
        <v>31</v>
      </c>
      <c r="C378" s="4">
        <v>735</v>
      </c>
      <c r="D378" s="5">
        <v>42044</v>
      </c>
      <c r="E378" s="3" t="s">
        <v>10</v>
      </c>
      <c r="F378" s="4" t="s">
        <v>8</v>
      </c>
      <c r="G378" s="20">
        <v>2.5099999999999998</v>
      </c>
      <c r="H378" s="20">
        <v>0.21</v>
      </c>
      <c r="I378" s="20">
        <v>0.55470999999999993</v>
      </c>
      <c r="J378" s="20">
        <v>1.2575099999999999</v>
      </c>
    </row>
    <row r="379" spans="1:10" x14ac:dyDescent="0.25">
      <c r="A379" s="3" t="s">
        <v>30</v>
      </c>
      <c r="B379" s="3" t="s">
        <v>31</v>
      </c>
      <c r="C379" s="4">
        <v>736</v>
      </c>
      <c r="D379" s="5">
        <v>42044</v>
      </c>
      <c r="E379" s="3" t="s">
        <v>10</v>
      </c>
      <c r="F379" s="4" t="s">
        <v>9</v>
      </c>
      <c r="G379" s="20">
        <v>2</v>
      </c>
      <c r="H379" s="20">
        <v>0.27</v>
      </c>
      <c r="I379" s="20">
        <v>0.37200000000000005</v>
      </c>
      <c r="J379" s="20">
        <v>1.052</v>
      </c>
    </row>
    <row r="380" spans="1:10" x14ac:dyDescent="0.25">
      <c r="A380" s="3" t="s">
        <v>33</v>
      </c>
      <c r="B380" s="3" t="s">
        <v>34</v>
      </c>
      <c r="C380" s="4">
        <v>245</v>
      </c>
      <c r="D380" s="5">
        <v>42136</v>
      </c>
      <c r="E380" s="3" t="s">
        <v>7</v>
      </c>
      <c r="F380" s="4" t="s">
        <v>8</v>
      </c>
      <c r="G380" s="20">
        <v>2.5099999999999998</v>
      </c>
      <c r="H380" s="20">
        <v>0.83</v>
      </c>
      <c r="I380" s="20">
        <v>0.82829999999999993</v>
      </c>
      <c r="J380" s="20">
        <v>0.66766000000000003</v>
      </c>
    </row>
    <row r="381" spans="1:10" x14ac:dyDescent="0.25">
      <c r="A381" s="3" t="s">
        <v>33</v>
      </c>
      <c r="B381" s="3" t="s">
        <v>34</v>
      </c>
      <c r="C381" s="4">
        <v>246</v>
      </c>
      <c r="D381" s="5">
        <v>42136</v>
      </c>
      <c r="E381" s="3" t="s">
        <v>7</v>
      </c>
      <c r="F381" s="4" t="s">
        <v>9</v>
      </c>
      <c r="G381" s="20">
        <v>1.59</v>
      </c>
      <c r="H381" s="20">
        <v>0.37</v>
      </c>
      <c r="I381" s="20">
        <v>0.18443999999999999</v>
      </c>
      <c r="J381" s="20">
        <v>0.64554000000000011</v>
      </c>
    </row>
    <row r="382" spans="1:10" x14ac:dyDescent="0.25">
      <c r="A382" s="3" t="s">
        <v>33</v>
      </c>
      <c r="B382" s="3" t="s">
        <v>34</v>
      </c>
      <c r="C382" s="4">
        <v>247</v>
      </c>
      <c r="D382" s="5">
        <v>42136</v>
      </c>
      <c r="E382" s="3" t="s">
        <v>7</v>
      </c>
      <c r="F382" s="4" t="s">
        <v>9</v>
      </c>
      <c r="G382" s="20">
        <v>1.1499999999999999</v>
      </c>
      <c r="H382" s="20">
        <v>0.35</v>
      </c>
      <c r="I382" s="20">
        <v>0.13339999999999999</v>
      </c>
      <c r="J382" s="20">
        <v>0.52439999999999998</v>
      </c>
    </row>
    <row r="383" spans="1:10" x14ac:dyDescent="0.25">
      <c r="A383" s="3" t="s">
        <v>33</v>
      </c>
      <c r="B383" s="3" t="s">
        <v>34</v>
      </c>
      <c r="C383" s="4">
        <v>248</v>
      </c>
      <c r="D383" s="5">
        <v>42136</v>
      </c>
      <c r="E383" s="3" t="s">
        <v>10</v>
      </c>
      <c r="F383" s="4" t="s">
        <v>8</v>
      </c>
      <c r="G383" s="20">
        <v>1.71</v>
      </c>
      <c r="H383" s="20">
        <v>0.53</v>
      </c>
      <c r="I383" s="20">
        <v>0.35054999999999997</v>
      </c>
      <c r="J383" s="20">
        <v>0.62073</v>
      </c>
    </row>
    <row r="384" spans="1:10" x14ac:dyDescent="0.25">
      <c r="A384" s="3" t="s">
        <v>33</v>
      </c>
      <c r="B384" s="3" t="s">
        <v>34</v>
      </c>
      <c r="C384" s="4">
        <v>449</v>
      </c>
      <c r="D384" s="5">
        <v>42163</v>
      </c>
      <c r="E384" s="3" t="s">
        <v>7</v>
      </c>
      <c r="F384" s="4" t="s">
        <v>8</v>
      </c>
      <c r="G384" s="20">
        <v>2.31</v>
      </c>
      <c r="H384" s="20">
        <v>0.48</v>
      </c>
      <c r="I384" s="20">
        <v>0.88704000000000005</v>
      </c>
      <c r="J384" s="20">
        <v>0.70916999999999997</v>
      </c>
    </row>
    <row r="385" spans="1:10" x14ac:dyDescent="0.25">
      <c r="A385" s="3" t="s">
        <v>33</v>
      </c>
      <c r="B385" s="3" t="s">
        <v>34</v>
      </c>
      <c r="C385" s="4">
        <v>450</v>
      </c>
      <c r="D385" s="5">
        <v>42163</v>
      </c>
      <c r="E385" s="3" t="s">
        <v>7</v>
      </c>
      <c r="F385" s="4" t="s">
        <v>9</v>
      </c>
      <c r="G385" s="20">
        <v>0.92</v>
      </c>
      <c r="H385" s="20">
        <v>0.44</v>
      </c>
      <c r="I385" s="20">
        <v>7.3508000000000004E-2</v>
      </c>
      <c r="J385" s="20">
        <v>0.42227999999999999</v>
      </c>
    </row>
    <row r="386" spans="1:10" x14ac:dyDescent="0.25">
      <c r="A386" s="3" t="s">
        <v>33</v>
      </c>
      <c r="B386" s="3" t="s">
        <v>34</v>
      </c>
      <c r="C386" s="4">
        <v>771</v>
      </c>
      <c r="D386" s="5">
        <v>42039</v>
      </c>
      <c r="E386" s="16" t="s">
        <v>7</v>
      </c>
      <c r="F386" s="4" t="s">
        <v>8</v>
      </c>
      <c r="G386" s="20">
        <v>2.74</v>
      </c>
      <c r="H386" s="20">
        <v>0.18</v>
      </c>
      <c r="I386" s="20">
        <v>1.1453200000000001</v>
      </c>
      <c r="J386" s="20">
        <v>0.6466400000000001</v>
      </c>
    </row>
    <row r="387" spans="1:10" x14ac:dyDescent="0.25">
      <c r="A387" s="3" t="s">
        <v>33</v>
      </c>
      <c r="B387" s="3" t="s">
        <v>34</v>
      </c>
      <c r="C387" s="4">
        <v>772</v>
      </c>
      <c r="D387" s="5">
        <v>42039</v>
      </c>
      <c r="E387" s="16" t="s">
        <v>7</v>
      </c>
      <c r="F387" s="4" t="s">
        <v>8</v>
      </c>
      <c r="G387" s="20">
        <v>3.14</v>
      </c>
      <c r="H387" s="20">
        <v>0.15</v>
      </c>
      <c r="I387" s="20">
        <v>1.2089000000000001</v>
      </c>
      <c r="J387" s="20">
        <v>0.77244000000000013</v>
      </c>
    </row>
    <row r="388" spans="1:10" x14ac:dyDescent="0.25">
      <c r="A388" s="3" t="s">
        <v>33</v>
      </c>
      <c r="B388" s="3" t="s">
        <v>34</v>
      </c>
      <c r="C388" s="4">
        <v>773</v>
      </c>
      <c r="D388" s="5">
        <v>42039</v>
      </c>
      <c r="E388" s="16" t="s">
        <v>7</v>
      </c>
      <c r="F388" s="4" t="s">
        <v>9</v>
      </c>
      <c r="G388" s="20">
        <v>1.28</v>
      </c>
      <c r="H388" s="20">
        <v>0.05</v>
      </c>
      <c r="I388" s="20">
        <v>8.9088000000000001E-2</v>
      </c>
      <c r="J388" s="20">
        <v>0.57856000000000007</v>
      </c>
    </row>
    <row r="389" spans="1:10" x14ac:dyDescent="0.25">
      <c r="A389" s="3" t="s">
        <v>33</v>
      </c>
      <c r="B389" s="3" t="s">
        <v>34</v>
      </c>
      <c r="C389" s="4">
        <v>774</v>
      </c>
      <c r="D389" s="5">
        <v>42039</v>
      </c>
      <c r="E389" s="16" t="s">
        <v>7</v>
      </c>
      <c r="F389" s="4" t="s">
        <v>9</v>
      </c>
      <c r="G389" s="20">
        <v>2.0499999999999998</v>
      </c>
      <c r="H389" s="20">
        <v>0.06</v>
      </c>
      <c r="I389" s="20">
        <v>0.34849999999999998</v>
      </c>
      <c r="J389" s="20">
        <v>0.83435000000000004</v>
      </c>
    </row>
    <row r="390" spans="1:10" x14ac:dyDescent="0.25">
      <c r="A390" s="3" t="s">
        <v>33</v>
      </c>
      <c r="B390" s="3" t="s">
        <v>34</v>
      </c>
      <c r="C390" s="4">
        <v>775</v>
      </c>
      <c r="D390" s="5">
        <v>42039</v>
      </c>
      <c r="E390" s="15" t="s">
        <v>10</v>
      </c>
      <c r="F390" s="4" t="s">
        <v>8</v>
      </c>
      <c r="G390" s="20">
        <v>2.48</v>
      </c>
      <c r="H390" s="20">
        <v>0.18</v>
      </c>
      <c r="I390" s="20">
        <v>0.9052</v>
      </c>
      <c r="J390" s="20">
        <v>0.88536000000000015</v>
      </c>
    </row>
    <row r="391" spans="1:10" x14ac:dyDescent="0.25">
      <c r="A391" s="3" t="s">
        <v>33</v>
      </c>
      <c r="B391" s="3" t="s">
        <v>34</v>
      </c>
      <c r="C391" s="4">
        <v>800</v>
      </c>
      <c r="D391" s="5">
        <v>42039</v>
      </c>
      <c r="E391" s="15" t="s">
        <v>10</v>
      </c>
      <c r="F391" s="4" t="s">
        <v>9</v>
      </c>
      <c r="G391" s="20">
        <v>1.02</v>
      </c>
      <c r="H391" s="20">
        <v>0.05</v>
      </c>
      <c r="I391" s="20">
        <v>7.0788000000000004E-2</v>
      </c>
      <c r="J391" s="20">
        <v>0.48654000000000003</v>
      </c>
    </row>
    <row r="392" spans="1:10" x14ac:dyDescent="0.25">
      <c r="A392" s="3" t="s">
        <v>35</v>
      </c>
      <c r="B392" s="3" t="s">
        <v>36</v>
      </c>
      <c r="C392" s="4">
        <v>159</v>
      </c>
      <c r="D392" s="5">
        <v>42111</v>
      </c>
      <c r="E392" s="3" t="s">
        <v>7</v>
      </c>
      <c r="F392" s="4" t="s">
        <v>8</v>
      </c>
      <c r="G392" s="23">
        <v>4.5999999999999996</v>
      </c>
      <c r="H392" s="23">
        <v>2.41</v>
      </c>
      <c r="I392" s="20">
        <v>1.1407999999999998</v>
      </c>
      <c r="J392" s="20">
        <v>1.2833999999999999</v>
      </c>
    </row>
    <row r="393" spans="1:10" x14ac:dyDescent="0.25">
      <c r="A393" s="3" t="s">
        <v>35</v>
      </c>
      <c r="B393" s="3" t="s">
        <v>36</v>
      </c>
      <c r="C393" s="4">
        <v>160</v>
      </c>
      <c r="D393" s="5">
        <v>42111</v>
      </c>
      <c r="E393" s="3" t="s">
        <v>7</v>
      </c>
      <c r="F393" s="4" t="s">
        <v>9</v>
      </c>
      <c r="G393" s="23">
        <v>1.48</v>
      </c>
      <c r="H393" s="23">
        <v>0.56000000000000005</v>
      </c>
      <c r="I393" s="20">
        <v>0.25011999999999995</v>
      </c>
      <c r="J393" s="20">
        <v>0.49580000000000002</v>
      </c>
    </row>
    <row r="394" spans="1:10" x14ac:dyDescent="0.25">
      <c r="A394" s="3" t="s">
        <v>35</v>
      </c>
      <c r="B394" s="3" t="s">
        <v>36</v>
      </c>
      <c r="C394" s="4">
        <v>161</v>
      </c>
      <c r="D394" s="5">
        <v>42111</v>
      </c>
      <c r="E394" s="3" t="s">
        <v>10</v>
      </c>
      <c r="F394" s="4" t="s">
        <v>8</v>
      </c>
      <c r="G394" s="23">
        <v>2.04</v>
      </c>
      <c r="H394" s="23">
        <v>1.02</v>
      </c>
      <c r="I394" s="20">
        <v>0.52427999999999997</v>
      </c>
      <c r="J394" s="20">
        <v>0.51612000000000002</v>
      </c>
    </row>
    <row r="395" spans="1:10" x14ac:dyDescent="0.25">
      <c r="A395" s="3" t="s">
        <v>35</v>
      </c>
      <c r="B395" s="3" t="s">
        <v>36</v>
      </c>
      <c r="C395" s="4">
        <v>162</v>
      </c>
      <c r="D395" s="5">
        <v>42111</v>
      </c>
      <c r="E395" s="3" t="s">
        <v>10</v>
      </c>
      <c r="F395" s="4" t="s">
        <v>8</v>
      </c>
      <c r="G395" s="23">
        <v>3.42</v>
      </c>
      <c r="H395" s="23">
        <v>1.26</v>
      </c>
      <c r="I395" s="20">
        <v>1.09782</v>
      </c>
      <c r="J395" s="20">
        <v>1.0875600000000001</v>
      </c>
    </row>
    <row r="396" spans="1:10" x14ac:dyDescent="0.25">
      <c r="A396" s="3" t="s">
        <v>35</v>
      </c>
      <c r="B396" s="3" t="s">
        <v>36</v>
      </c>
      <c r="C396" s="4">
        <v>163</v>
      </c>
      <c r="D396" s="5">
        <v>42111</v>
      </c>
      <c r="E396" s="3" t="s">
        <v>10</v>
      </c>
      <c r="F396" s="4" t="s">
        <v>9</v>
      </c>
      <c r="G396" s="23">
        <v>1.59</v>
      </c>
      <c r="H396" s="23">
        <v>0.57999999999999996</v>
      </c>
      <c r="I396" s="20">
        <v>0.35139000000000004</v>
      </c>
      <c r="J396" s="20">
        <v>0.53900999999999999</v>
      </c>
    </row>
    <row r="397" spans="1:10" x14ac:dyDescent="0.25">
      <c r="A397" s="3" t="s">
        <v>35</v>
      </c>
      <c r="B397" s="3" t="s">
        <v>36</v>
      </c>
      <c r="C397" s="4">
        <v>249</v>
      </c>
      <c r="D397" s="5">
        <v>42136</v>
      </c>
      <c r="E397" s="3" t="s">
        <v>7</v>
      </c>
      <c r="F397" s="4" t="s">
        <v>8</v>
      </c>
      <c r="G397" s="20">
        <v>5.24</v>
      </c>
      <c r="H397" s="20">
        <v>2.92</v>
      </c>
      <c r="I397" s="20">
        <v>1.7606400000000002</v>
      </c>
      <c r="J397" s="20">
        <v>1.03752</v>
      </c>
    </row>
    <row r="398" spans="1:10" x14ac:dyDescent="0.25">
      <c r="A398" s="3" t="s">
        <v>35</v>
      </c>
      <c r="B398" s="3" t="s">
        <v>36</v>
      </c>
      <c r="C398" s="4">
        <v>250</v>
      </c>
      <c r="D398" s="5">
        <v>42136</v>
      </c>
      <c r="E398" s="3" t="s">
        <v>7</v>
      </c>
      <c r="F398" s="4" t="s">
        <v>9</v>
      </c>
      <c r="G398" s="20">
        <v>2.4300000000000002</v>
      </c>
      <c r="H398" s="20">
        <v>0.71</v>
      </c>
      <c r="I398" s="20">
        <v>0.65853000000000006</v>
      </c>
      <c r="J398" s="20">
        <v>0.82620000000000016</v>
      </c>
    </row>
    <row r="399" spans="1:10" x14ac:dyDescent="0.25">
      <c r="A399" s="3" t="s">
        <v>35</v>
      </c>
      <c r="B399" s="3" t="s">
        <v>36</v>
      </c>
      <c r="C399" s="4">
        <v>251</v>
      </c>
      <c r="D399" s="5">
        <v>42136</v>
      </c>
      <c r="E399" s="3" t="s">
        <v>7</v>
      </c>
      <c r="F399" s="4" t="s">
        <v>9</v>
      </c>
      <c r="G399" s="20">
        <v>1.38</v>
      </c>
      <c r="H399" s="20">
        <v>0.53</v>
      </c>
      <c r="I399" s="20">
        <v>0.26910000000000001</v>
      </c>
      <c r="J399" s="20">
        <v>0.42089999999999994</v>
      </c>
    </row>
    <row r="400" spans="1:10" x14ac:dyDescent="0.25">
      <c r="A400" s="3" t="s">
        <v>35</v>
      </c>
      <c r="B400" s="3" t="s">
        <v>36</v>
      </c>
      <c r="C400" s="4">
        <v>252</v>
      </c>
      <c r="D400" s="5">
        <v>42136</v>
      </c>
      <c r="E400" s="3" t="s">
        <v>7</v>
      </c>
      <c r="F400" s="4" t="s">
        <v>9</v>
      </c>
      <c r="G400" s="20">
        <v>2.17</v>
      </c>
      <c r="H400" s="20">
        <v>1.1599999999999999</v>
      </c>
      <c r="I400" s="20">
        <v>0.25606000000000001</v>
      </c>
      <c r="J400" s="20">
        <v>0.75515999999999994</v>
      </c>
    </row>
    <row r="401" spans="1:10" x14ac:dyDescent="0.25">
      <c r="A401" s="3" t="s">
        <v>35</v>
      </c>
      <c r="B401" s="3" t="s">
        <v>36</v>
      </c>
      <c r="C401" s="4">
        <v>253</v>
      </c>
      <c r="D401" s="5">
        <v>42136</v>
      </c>
      <c r="E401" s="3" t="s">
        <v>7</v>
      </c>
      <c r="F401" s="4" t="s">
        <v>9</v>
      </c>
      <c r="G401" s="20">
        <v>1.38</v>
      </c>
      <c r="H401" s="20">
        <v>0.28999999999999998</v>
      </c>
      <c r="I401" s="20">
        <v>0.28565999999999997</v>
      </c>
      <c r="J401" s="20">
        <v>0.44435999999999998</v>
      </c>
    </row>
    <row r="402" spans="1:10" x14ac:dyDescent="0.25">
      <c r="A402" s="3" t="s">
        <v>35</v>
      </c>
      <c r="B402" s="3" t="s">
        <v>36</v>
      </c>
      <c r="C402" s="4">
        <v>254</v>
      </c>
      <c r="D402" s="5">
        <v>42136</v>
      </c>
      <c r="E402" s="3" t="s">
        <v>10</v>
      </c>
      <c r="F402" s="4" t="s">
        <v>9</v>
      </c>
      <c r="G402" s="20">
        <v>1.69</v>
      </c>
      <c r="H402" s="20">
        <v>0.72</v>
      </c>
      <c r="I402" s="20">
        <v>0.33462000000000003</v>
      </c>
      <c r="J402" s="20">
        <v>0.52390000000000003</v>
      </c>
    </row>
    <row r="403" spans="1:10" x14ac:dyDescent="0.25">
      <c r="A403" s="3" t="s">
        <v>35</v>
      </c>
      <c r="B403" s="3" t="s">
        <v>36</v>
      </c>
      <c r="C403" s="4">
        <v>267</v>
      </c>
      <c r="D403" s="5">
        <v>42145</v>
      </c>
      <c r="E403" s="3" t="s">
        <v>7</v>
      </c>
      <c r="F403" s="4" t="s">
        <v>8</v>
      </c>
      <c r="G403" s="20">
        <v>3.97</v>
      </c>
      <c r="H403" s="20">
        <v>1.95</v>
      </c>
      <c r="I403" s="20">
        <v>1.2545200000000001</v>
      </c>
      <c r="J403" s="20">
        <v>0.97265000000000001</v>
      </c>
    </row>
    <row r="404" spans="1:10" x14ac:dyDescent="0.25">
      <c r="A404" s="3" t="s">
        <v>35</v>
      </c>
      <c r="B404" s="3" t="s">
        <v>36</v>
      </c>
      <c r="C404" s="4">
        <v>268</v>
      </c>
      <c r="D404" s="5">
        <v>42145</v>
      </c>
      <c r="E404" s="3" t="s">
        <v>7</v>
      </c>
      <c r="F404" s="4" t="s">
        <v>11</v>
      </c>
      <c r="G404" s="20">
        <v>3.72</v>
      </c>
      <c r="H404" s="20">
        <v>2.0099999999999998</v>
      </c>
      <c r="I404" s="20">
        <v>1.1346000000000001</v>
      </c>
      <c r="J404" s="20">
        <v>0.89280000000000004</v>
      </c>
    </row>
    <row r="405" spans="1:10" x14ac:dyDescent="0.25">
      <c r="A405" s="3" t="s">
        <v>35</v>
      </c>
      <c r="B405" s="3" t="s">
        <v>36</v>
      </c>
      <c r="C405" s="4">
        <v>269</v>
      </c>
      <c r="D405" s="5">
        <v>42145</v>
      </c>
      <c r="E405" s="3" t="s">
        <v>10</v>
      </c>
      <c r="F405" s="4" t="s">
        <v>8</v>
      </c>
      <c r="G405" s="20">
        <v>3.31</v>
      </c>
      <c r="H405" s="20">
        <v>1.61</v>
      </c>
      <c r="I405" s="20">
        <v>1.20153</v>
      </c>
      <c r="J405" s="20">
        <v>0.58256000000000008</v>
      </c>
    </row>
    <row r="406" spans="1:10" x14ac:dyDescent="0.25">
      <c r="A406" s="3" t="s">
        <v>35</v>
      </c>
      <c r="B406" s="3" t="s">
        <v>36</v>
      </c>
      <c r="C406" s="4">
        <v>270</v>
      </c>
      <c r="D406" s="5">
        <v>42145</v>
      </c>
      <c r="E406" s="3" t="s">
        <v>10</v>
      </c>
      <c r="F406" s="4" t="s">
        <v>9</v>
      </c>
      <c r="G406" s="20">
        <v>1.45</v>
      </c>
      <c r="H406" s="20">
        <v>0.81</v>
      </c>
      <c r="I406" s="20">
        <v>0.28854999999999997</v>
      </c>
      <c r="J406" s="20">
        <v>0.49879999999999997</v>
      </c>
    </row>
    <row r="407" spans="1:10" x14ac:dyDescent="0.25">
      <c r="A407" s="3" t="s">
        <v>35</v>
      </c>
      <c r="B407" s="3" t="s">
        <v>36</v>
      </c>
      <c r="C407" s="4">
        <v>370</v>
      </c>
      <c r="D407" s="5">
        <v>42160</v>
      </c>
      <c r="E407" s="3" t="s">
        <v>7</v>
      </c>
      <c r="F407" s="4" t="s">
        <v>8</v>
      </c>
      <c r="G407" s="20">
        <v>2.91</v>
      </c>
      <c r="H407" s="20">
        <v>2.16</v>
      </c>
      <c r="I407" s="20">
        <v>0.59363999999999995</v>
      </c>
      <c r="J407" s="20">
        <v>0.60236999999999996</v>
      </c>
    </row>
    <row r="408" spans="1:10" x14ac:dyDescent="0.25">
      <c r="A408" s="3" t="s">
        <v>35</v>
      </c>
      <c r="B408" s="3" t="s">
        <v>36</v>
      </c>
      <c r="C408" s="4">
        <v>371</v>
      </c>
      <c r="D408" s="5">
        <v>42160</v>
      </c>
      <c r="E408" s="3" t="s">
        <v>7</v>
      </c>
      <c r="F408" s="4" t="s">
        <v>8</v>
      </c>
      <c r="G408" s="20">
        <v>4.04</v>
      </c>
      <c r="H408" s="20">
        <v>2.54</v>
      </c>
      <c r="I408" s="20">
        <v>0.9170799999999999</v>
      </c>
      <c r="J408" s="20">
        <v>0.86860000000000004</v>
      </c>
    </row>
    <row r="409" spans="1:10" x14ac:dyDescent="0.25">
      <c r="A409" s="3" t="s">
        <v>35</v>
      </c>
      <c r="B409" s="3" t="s">
        <v>36</v>
      </c>
      <c r="C409" s="4">
        <v>372</v>
      </c>
      <c r="D409" s="5">
        <v>42160</v>
      </c>
      <c r="E409" s="3" t="s">
        <v>7</v>
      </c>
      <c r="F409" s="4" t="s">
        <v>11</v>
      </c>
      <c r="G409" s="20">
        <v>2.87</v>
      </c>
      <c r="H409" s="20">
        <v>1.23</v>
      </c>
      <c r="I409" s="20">
        <v>1.02746</v>
      </c>
      <c r="J409" s="20">
        <v>0.53956000000000004</v>
      </c>
    </row>
    <row r="410" spans="1:10" x14ac:dyDescent="0.25">
      <c r="A410" s="3" t="s">
        <v>35</v>
      </c>
      <c r="B410" s="3" t="s">
        <v>36</v>
      </c>
      <c r="C410" s="4">
        <v>373</v>
      </c>
      <c r="D410" s="5">
        <v>42160</v>
      </c>
      <c r="E410" s="3" t="s">
        <v>7</v>
      </c>
      <c r="F410" s="4" t="s">
        <v>11</v>
      </c>
      <c r="G410" s="20">
        <v>2.87</v>
      </c>
      <c r="H410" s="20">
        <v>1.58</v>
      </c>
      <c r="I410" s="20">
        <v>0.76916000000000007</v>
      </c>
      <c r="J410" s="20">
        <v>0.58261000000000007</v>
      </c>
    </row>
    <row r="411" spans="1:10" x14ac:dyDescent="0.25">
      <c r="A411" s="3" t="s">
        <v>35</v>
      </c>
      <c r="B411" s="3" t="s">
        <v>36</v>
      </c>
      <c r="C411" s="4">
        <v>374</v>
      </c>
      <c r="D411" s="5">
        <v>42160</v>
      </c>
      <c r="E411" s="3" t="s">
        <v>7</v>
      </c>
      <c r="F411" s="4" t="s">
        <v>11</v>
      </c>
      <c r="G411" s="20">
        <v>2.06</v>
      </c>
      <c r="H411" s="20">
        <v>1.41</v>
      </c>
      <c r="I411" s="20">
        <v>0.43466000000000005</v>
      </c>
      <c r="J411" s="20">
        <v>0.39346000000000003</v>
      </c>
    </row>
    <row r="412" spans="1:10" x14ac:dyDescent="0.25">
      <c r="A412" s="3" t="s">
        <v>35</v>
      </c>
      <c r="B412" s="3" t="s">
        <v>36</v>
      </c>
      <c r="C412" s="4">
        <v>375</v>
      </c>
      <c r="D412" s="5">
        <v>42160</v>
      </c>
      <c r="E412" s="3" t="s">
        <v>7</v>
      </c>
      <c r="F412" s="4" t="s">
        <v>11</v>
      </c>
      <c r="G412" s="20">
        <v>3.5</v>
      </c>
      <c r="H412" s="20">
        <v>1.99</v>
      </c>
      <c r="I412" s="20">
        <v>0.82600000000000007</v>
      </c>
      <c r="J412" s="20">
        <v>0.85050000000000003</v>
      </c>
    </row>
    <row r="413" spans="1:10" x14ac:dyDescent="0.25">
      <c r="A413" s="3" t="s">
        <v>35</v>
      </c>
      <c r="B413" s="3" t="s">
        <v>36</v>
      </c>
      <c r="C413" s="4">
        <v>376</v>
      </c>
      <c r="D413" s="5">
        <v>42160</v>
      </c>
      <c r="E413" s="3" t="s">
        <v>7</v>
      </c>
      <c r="F413" s="4" t="s">
        <v>11</v>
      </c>
      <c r="G413" s="20">
        <v>3</v>
      </c>
      <c r="H413" s="20">
        <v>1.22</v>
      </c>
      <c r="I413" s="20">
        <v>0.76800000000000002</v>
      </c>
      <c r="J413" s="20">
        <v>0.69000000000000006</v>
      </c>
    </row>
    <row r="414" spans="1:10" x14ac:dyDescent="0.25">
      <c r="A414" s="3" t="s">
        <v>35</v>
      </c>
      <c r="B414" s="3" t="s">
        <v>36</v>
      </c>
      <c r="C414" s="4">
        <v>377</v>
      </c>
      <c r="D414" s="5">
        <v>42160</v>
      </c>
      <c r="E414" s="3" t="s">
        <v>7</v>
      </c>
      <c r="F414" s="4" t="s">
        <v>11</v>
      </c>
      <c r="G414" s="20">
        <v>2.5299999999999998</v>
      </c>
      <c r="H414" s="20">
        <v>1.65</v>
      </c>
      <c r="I414" s="20">
        <v>0.69828000000000001</v>
      </c>
      <c r="J414" s="20">
        <v>0.46298999999999996</v>
      </c>
    </row>
    <row r="415" spans="1:10" x14ac:dyDescent="0.25">
      <c r="A415" s="3" t="s">
        <v>35</v>
      </c>
      <c r="B415" s="3" t="s">
        <v>36</v>
      </c>
      <c r="C415" s="4">
        <v>378</v>
      </c>
      <c r="D415" s="5">
        <v>42160</v>
      </c>
      <c r="E415" s="3" t="s">
        <v>10</v>
      </c>
      <c r="F415" s="4" t="s">
        <v>8</v>
      </c>
      <c r="G415" s="20">
        <v>2.11</v>
      </c>
      <c r="H415" s="20">
        <v>1.4</v>
      </c>
      <c r="I415" s="20">
        <v>0.57813999999999988</v>
      </c>
      <c r="J415" s="20">
        <v>0.34182000000000001</v>
      </c>
    </row>
    <row r="416" spans="1:10" x14ac:dyDescent="0.25">
      <c r="A416" s="3" t="s">
        <v>35</v>
      </c>
      <c r="B416" s="3" t="s">
        <v>36</v>
      </c>
      <c r="C416" s="4">
        <v>379</v>
      </c>
      <c r="D416" s="5">
        <v>42160</v>
      </c>
      <c r="E416" s="3" t="s">
        <v>10</v>
      </c>
      <c r="F416" s="4" t="s">
        <v>8</v>
      </c>
      <c r="G416" s="20">
        <v>3.69</v>
      </c>
      <c r="H416" s="20">
        <v>1.04</v>
      </c>
      <c r="I416" s="20">
        <v>0.96677999999999997</v>
      </c>
      <c r="J416" s="20">
        <v>1.4354100000000001</v>
      </c>
    </row>
    <row r="417" spans="1:10" x14ac:dyDescent="0.25">
      <c r="A417" s="3" t="s">
        <v>35</v>
      </c>
      <c r="B417" s="3" t="s">
        <v>36</v>
      </c>
      <c r="C417" s="4">
        <v>380</v>
      </c>
      <c r="D417" s="5">
        <v>42160</v>
      </c>
      <c r="E417" s="3" t="s">
        <v>10</v>
      </c>
      <c r="F417" s="4" t="s">
        <v>8</v>
      </c>
      <c r="G417" s="20">
        <v>2.78</v>
      </c>
      <c r="H417" s="20">
        <v>0.96</v>
      </c>
      <c r="I417" s="20">
        <v>0.91183999999999987</v>
      </c>
      <c r="J417" s="20">
        <v>0.70333999999999997</v>
      </c>
    </row>
    <row r="418" spans="1:10" x14ac:dyDescent="0.25">
      <c r="A418" s="3" t="s">
        <v>35</v>
      </c>
      <c r="B418" s="3" t="s">
        <v>36</v>
      </c>
      <c r="C418" s="4">
        <v>381</v>
      </c>
      <c r="D418" s="5">
        <v>42160</v>
      </c>
      <c r="E418" s="3" t="s">
        <v>10</v>
      </c>
      <c r="F418" s="4" t="s">
        <v>11</v>
      </c>
      <c r="G418" s="20">
        <v>2.29</v>
      </c>
      <c r="H418" s="20">
        <v>0.98</v>
      </c>
      <c r="I418" s="20">
        <v>0.79234000000000004</v>
      </c>
      <c r="J418" s="20">
        <v>0.41449000000000008</v>
      </c>
    </row>
    <row r="419" spans="1:10" x14ac:dyDescent="0.25">
      <c r="A419" s="3" t="s">
        <v>35</v>
      </c>
      <c r="B419" s="3" t="s">
        <v>36</v>
      </c>
      <c r="C419" s="4">
        <v>382</v>
      </c>
      <c r="D419" s="5">
        <v>42160</v>
      </c>
      <c r="E419" s="3" t="s">
        <v>10</v>
      </c>
      <c r="F419" s="4" t="s">
        <v>11</v>
      </c>
      <c r="G419" s="20">
        <v>2.35</v>
      </c>
      <c r="H419" s="20">
        <v>1.17</v>
      </c>
      <c r="I419" s="20">
        <v>0.58515000000000006</v>
      </c>
      <c r="J419" s="20">
        <v>0.56635000000000002</v>
      </c>
    </row>
    <row r="420" spans="1:10" x14ac:dyDescent="0.25">
      <c r="A420" s="3" t="s">
        <v>35</v>
      </c>
      <c r="B420" s="3" t="s">
        <v>36</v>
      </c>
      <c r="C420" s="4">
        <v>383</v>
      </c>
      <c r="D420" s="5">
        <v>42160</v>
      </c>
      <c r="E420" s="3" t="s">
        <v>10</v>
      </c>
      <c r="F420" s="4" t="s">
        <v>11</v>
      </c>
      <c r="G420" s="20">
        <v>1.75</v>
      </c>
      <c r="H420" s="20">
        <v>1.02</v>
      </c>
      <c r="I420" s="20">
        <v>0.32200000000000001</v>
      </c>
      <c r="J420" s="20">
        <v>0.25724999999999998</v>
      </c>
    </row>
    <row r="421" spans="1:10" x14ac:dyDescent="0.25">
      <c r="A421" s="3" t="s">
        <v>35</v>
      </c>
      <c r="B421" s="3" t="s">
        <v>36</v>
      </c>
      <c r="C421" s="4">
        <v>384</v>
      </c>
      <c r="D421" s="5">
        <v>42160</v>
      </c>
      <c r="E421" s="3" t="s">
        <v>10</v>
      </c>
      <c r="F421" s="4" t="s">
        <v>11</v>
      </c>
      <c r="G421" s="20">
        <v>1.63</v>
      </c>
      <c r="H421" s="20">
        <v>0.65</v>
      </c>
      <c r="I421" s="20">
        <v>0.46944000000000002</v>
      </c>
      <c r="J421" s="20">
        <v>0.40586999999999995</v>
      </c>
    </row>
    <row r="422" spans="1:10" x14ac:dyDescent="0.25">
      <c r="A422" s="3" t="s">
        <v>35</v>
      </c>
      <c r="B422" s="3" t="s">
        <v>36</v>
      </c>
      <c r="C422" s="4">
        <v>385</v>
      </c>
      <c r="D422" s="5">
        <v>42160</v>
      </c>
      <c r="E422" s="3" t="s">
        <v>10</v>
      </c>
      <c r="F422" s="4" t="s">
        <v>11</v>
      </c>
      <c r="G422" s="20">
        <v>1.62</v>
      </c>
      <c r="H422" s="20">
        <v>0.82</v>
      </c>
      <c r="I422" s="20">
        <v>0.38556000000000007</v>
      </c>
      <c r="J422" s="20">
        <v>0.52325999999999995</v>
      </c>
    </row>
    <row r="423" spans="1:10" x14ac:dyDescent="0.25">
      <c r="A423" s="3" t="s">
        <v>35</v>
      </c>
      <c r="B423" s="3" t="s">
        <v>36</v>
      </c>
      <c r="C423" s="4">
        <v>386</v>
      </c>
      <c r="D423" s="5">
        <v>42160</v>
      </c>
      <c r="E423" s="3" t="s">
        <v>10</v>
      </c>
      <c r="F423" s="4" t="s">
        <v>9</v>
      </c>
      <c r="G423" s="20">
        <v>1.5</v>
      </c>
      <c r="H423" s="20">
        <v>0.88</v>
      </c>
      <c r="I423" s="20">
        <v>0.19650000000000001</v>
      </c>
      <c r="J423" s="20">
        <v>0.43200000000000005</v>
      </c>
    </row>
    <row r="424" spans="1:10" x14ac:dyDescent="0.25">
      <c r="A424" s="3" t="s">
        <v>35</v>
      </c>
      <c r="B424" s="3" t="s">
        <v>36</v>
      </c>
      <c r="C424" s="4">
        <v>387</v>
      </c>
      <c r="D424" s="5">
        <v>42160</v>
      </c>
      <c r="E424" s="3" t="s">
        <v>10</v>
      </c>
      <c r="F424" s="4" t="s">
        <v>9</v>
      </c>
      <c r="G424" s="20">
        <v>1.47</v>
      </c>
      <c r="H424" s="20">
        <v>0.78</v>
      </c>
      <c r="I424" s="20">
        <v>0.19551000000000002</v>
      </c>
      <c r="J424" s="20">
        <v>0.64091999999999993</v>
      </c>
    </row>
    <row r="425" spans="1:10" x14ac:dyDescent="0.25">
      <c r="A425" s="3" t="s">
        <v>35</v>
      </c>
      <c r="B425" s="3" t="s">
        <v>36</v>
      </c>
      <c r="C425" s="4">
        <v>388</v>
      </c>
      <c r="D425" s="5">
        <v>42160</v>
      </c>
      <c r="E425" s="3" t="s">
        <v>10</v>
      </c>
      <c r="F425" s="4" t="s">
        <v>9</v>
      </c>
      <c r="G425" s="20">
        <v>1.47</v>
      </c>
      <c r="H425" s="20">
        <v>0.55000000000000004</v>
      </c>
      <c r="I425" s="20">
        <v>0.21608999999999998</v>
      </c>
      <c r="J425" s="20">
        <v>0.57035999999999998</v>
      </c>
    </row>
    <row r="426" spans="1:10" x14ac:dyDescent="0.25">
      <c r="A426" s="3" t="s">
        <v>35</v>
      </c>
      <c r="B426" s="3" t="s">
        <v>36</v>
      </c>
      <c r="C426" s="4">
        <v>494</v>
      </c>
      <c r="D426" s="5">
        <v>42076</v>
      </c>
      <c r="E426" s="3" t="s">
        <v>7</v>
      </c>
      <c r="F426" s="4" t="s">
        <v>8</v>
      </c>
      <c r="G426" s="20">
        <v>2.61</v>
      </c>
      <c r="H426" s="20">
        <v>0.82</v>
      </c>
      <c r="I426" s="20">
        <v>0.77777999999999992</v>
      </c>
      <c r="J426" s="20">
        <v>0.43586999999999992</v>
      </c>
    </row>
    <row r="427" spans="1:10" x14ac:dyDescent="0.25">
      <c r="A427" s="3" t="s">
        <v>35</v>
      </c>
      <c r="B427" s="3" t="s">
        <v>36</v>
      </c>
      <c r="C427" s="4">
        <v>495</v>
      </c>
      <c r="D427" s="5">
        <v>42076</v>
      </c>
      <c r="E427" s="3" t="s">
        <v>7</v>
      </c>
      <c r="F427" s="4" t="s">
        <v>8</v>
      </c>
      <c r="G427" s="20">
        <v>2.85</v>
      </c>
      <c r="H427" s="20">
        <v>1.17</v>
      </c>
      <c r="I427" s="20">
        <v>0.67260000000000009</v>
      </c>
      <c r="J427" s="20">
        <v>0.65264999999999995</v>
      </c>
    </row>
    <row r="428" spans="1:10" x14ac:dyDescent="0.25">
      <c r="A428" s="3" t="s">
        <v>35</v>
      </c>
      <c r="B428" s="3" t="s">
        <v>36</v>
      </c>
      <c r="C428" s="4">
        <v>496</v>
      </c>
      <c r="D428" s="5">
        <v>42076</v>
      </c>
      <c r="E428" s="3" t="s">
        <v>7</v>
      </c>
      <c r="F428" s="4" t="s">
        <v>9</v>
      </c>
      <c r="G428" s="20">
        <v>2.25</v>
      </c>
      <c r="H428" s="20">
        <v>0.75</v>
      </c>
      <c r="I428" s="20">
        <v>0.43649999999999994</v>
      </c>
      <c r="J428" s="20">
        <v>0.75149999999999995</v>
      </c>
    </row>
    <row r="429" spans="1:10" x14ac:dyDescent="0.25">
      <c r="A429" s="3" t="s">
        <v>35</v>
      </c>
      <c r="B429" s="3" t="s">
        <v>36</v>
      </c>
      <c r="C429" s="4">
        <v>501</v>
      </c>
      <c r="D429" s="5">
        <v>42163</v>
      </c>
      <c r="E429" s="3" t="s">
        <v>7</v>
      </c>
      <c r="F429" s="4" t="s">
        <v>8</v>
      </c>
      <c r="G429" s="20">
        <v>4.5599999999999996</v>
      </c>
      <c r="H429" s="20">
        <v>3.96</v>
      </c>
      <c r="I429" s="20">
        <v>1.08528</v>
      </c>
      <c r="J429" s="20">
        <v>1.0031999999999999</v>
      </c>
    </row>
    <row r="430" spans="1:10" x14ac:dyDescent="0.25">
      <c r="A430" s="3" t="s">
        <v>35</v>
      </c>
      <c r="B430" s="3" t="s">
        <v>36</v>
      </c>
      <c r="C430" s="4">
        <v>502</v>
      </c>
      <c r="D430" s="5">
        <v>42163</v>
      </c>
      <c r="E430" s="3" t="s">
        <v>7</v>
      </c>
      <c r="F430" s="4" t="s">
        <v>11</v>
      </c>
      <c r="G430" s="20">
        <v>3.93</v>
      </c>
      <c r="H430" s="20">
        <v>3.37</v>
      </c>
      <c r="I430" s="20">
        <v>0.97464000000000006</v>
      </c>
      <c r="J430" s="20">
        <v>0.83316000000000001</v>
      </c>
    </row>
    <row r="431" spans="1:10" x14ac:dyDescent="0.25">
      <c r="A431" s="3" t="s">
        <v>35</v>
      </c>
      <c r="B431" s="3" t="s">
        <v>36</v>
      </c>
      <c r="C431" s="4">
        <v>503</v>
      </c>
      <c r="D431" s="5">
        <v>42163</v>
      </c>
      <c r="E431" s="3" t="s">
        <v>7</v>
      </c>
      <c r="F431" s="4" t="s">
        <v>11</v>
      </c>
      <c r="G431" s="20">
        <v>3.36</v>
      </c>
      <c r="H431" s="20">
        <v>3.82</v>
      </c>
      <c r="I431" s="20">
        <v>0.76271999999999995</v>
      </c>
      <c r="J431" s="20">
        <v>0.6048</v>
      </c>
    </row>
    <row r="432" spans="1:10" x14ac:dyDescent="0.25">
      <c r="A432" s="3" t="s">
        <v>35</v>
      </c>
      <c r="B432" s="3" t="s">
        <v>36</v>
      </c>
      <c r="C432" s="4">
        <v>504</v>
      </c>
      <c r="D432" s="5">
        <v>42163</v>
      </c>
      <c r="E432" s="3" t="s">
        <v>10</v>
      </c>
      <c r="F432" s="4" t="s">
        <v>8</v>
      </c>
      <c r="G432" s="20">
        <v>4.38</v>
      </c>
      <c r="H432" s="20">
        <v>2.5499999999999998</v>
      </c>
      <c r="I432" s="20">
        <v>1.38846</v>
      </c>
      <c r="J432" s="20">
        <v>0.88914000000000004</v>
      </c>
    </row>
    <row r="433" spans="1:10" x14ac:dyDescent="0.25">
      <c r="A433" s="3" t="s">
        <v>35</v>
      </c>
      <c r="B433" s="3" t="s">
        <v>36</v>
      </c>
      <c r="C433" s="4">
        <v>505</v>
      </c>
      <c r="D433" s="5">
        <v>42163</v>
      </c>
      <c r="E433" s="3" t="s">
        <v>10</v>
      </c>
      <c r="F433" s="4" t="s">
        <v>11</v>
      </c>
      <c r="G433" s="20">
        <v>1.58</v>
      </c>
      <c r="H433" s="20">
        <v>0.65</v>
      </c>
      <c r="I433" s="20">
        <v>0.26701999999999998</v>
      </c>
      <c r="J433" s="20">
        <v>0.51192000000000004</v>
      </c>
    </row>
    <row r="434" spans="1:10" x14ac:dyDescent="0.25">
      <c r="A434" s="3" t="s">
        <v>35</v>
      </c>
      <c r="B434" s="3" t="s">
        <v>36</v>
      </c>
      <c r="C434" s="4">
        <v>506</v>
      </c>
      <c r="D434" s="5">
        <v>42163</v>
      </c>
      <c r="E434" s="3" t="s">
        <v>10</v>
      </c>
      <c r="F434" s="4" t="s">
        <v>11</v>
      </c>
      <c r="G434" s="20">
        <v>4.96</v>
      </c>
      <c r="H434" s="20">
        <v>2.06</v>
      </c>
      <c r="I434" s="20">
        <v>1.47312</v>
      </c>
      <c r="J434" s="20">
        <v>1.6814399999999998</v>
      </c>
    </row>
    <row r="435" spans="1:10" x14ac:dyDescent="0.25">
      <c r="A435" s="3" t="s">
        <v>35</v>
      </c>
      <c r="B435" s="3" t="s">
        <v>36</v>
      </c>
      <c r="C435" s="4">
        <v>507</v>
      </c>
      <c r="D435" s="5">
        <v>42163</v>
      </c>
      <c r="E435" s="3" t="s">
        <v>10</v>
      </c>
      <c r="F435" s="4" t="s">
        <v>11</v>
      </c>
      <c r="G435" s="20">
        <v>1.73</v>
      </c>
      <c r="H435" s="20">
        <v>1.32</v>
      </c>
      <c r="I435" s="20">
        <v>0.6401</v>
      </c>
      <c r="J435" s="20">
        <v>0.22836000000000001</v>
      </c>
    </row>
    <row r="436" spans="1:10" x14ac:dyDescent="0.25">
      <c r="A436" s="3" t="s">
        <v>35</v>
      </c>
      <c r="B436" s="3" t="s">
        <v>36</v>
      </c>
      <c r="C436" s="4">
        <v>508</v>
      </c>
      <c r="D436" s="5">
        <v>42163</v>
      </c>
      <c r="E436" s="3" t="s">
        <v>10</v>
      </c>
      <c r="F436" s="4" t="s">
        <v>11</v>
      </c>
      <c r="G436" s="20">
        <v>3.01</v>
      </c>
      <c r="H436" s="20">
        <v>1.1100000000000001</v>
      </c>
      <c r="I436" s="20">
        <v>0.93008999999999997</v>
      </c>
      <c r="J436" s="20">
        <v>0.92406999999999995</v>
      </c>
    </row>
    <row r="437" spans="1:10" x14ac:dyDescent="0.25">
      <c r="A437" s="3" t="s">
        <v>35</v>
      </c>
      <c r="B437" s="3" t="s">
        <v>36</v>
      </c>
      <c r="C437" s="4">
        <v>535</v>
      </c>
      <c r="D437" s="5">
        <v>42174</v>
      </c>
      <c r="E437" s="3" t="s">
        <v>7</v>
      </c>
      <c r="F437" s="4" t="s">
        <v>8</v>
      </c>
      <c r="G437" s="20">
        <v>3.03</v>
      </c>
      <c r="H437" s="20">
        <v>1.95</v>
      </c>
      <c r="I437" s="20">
        <v>0.78476999999999997</v>
      </c>
      <c r="J437" s="20">
        <v>0.32117999999999997</v>
      </c>
    </row>
    <row r="438" spans="1:10" x14ac:dyDescent="0.25">
      <c r="A438" s="3" t="s">
        <v>35</v>
      </c>
      <c r="B438" s="3" t="s">
        <v>36</v>
      </c>
      <c r="C438" s="4">
        <v>536</v>
      </c>
      <c r="D438" s="5">
        <v>42174</v>
      </c>
      <c r="E438" s="3" t="s">
        <v>7</v>
      </c>
      <c r="F438" s="4" t="s">
        <v>11</v>
      </c>
      <c r="G438" s="20">
        <v>1.85</v>
      </c>
      <c r="H438" s="20">
        <v>1.27</v>
      </c>
      <c r="I438" s="20">
        <v>0.43105000000000004</v>
      </c>
      <c r="J438" s="20">
        <v>0.26824999999999999</v>
      </c>
    </row>
    <row r="439" spans="1:10" x14ac:dyDescent="0.25">
      <c r="A439" s="3" t="s">
        <v>35</v>
      </c>
      <c r="B439" s="3" t="s">
        <v>36</v>
      </c>
      <c r="C439" s="4">
        <v>565</v>
      </c>
      <c r="D439" s="5">
        <v>42181</v>
      </c>
      <c r="E439" s="3" t="s">
        <v>7</v>
      </c>
      <c r="F439" s="4" t="s">
        <v>8</v>
      </c>
      <c r="G439" s="20">
        <v>6.12</v>
      </c>
      <c r="H439" s="20">
        <v>4.54</v>
      </c>
      <c r="I439" s="20">
        <v>1.94004</v>
      </c>
      <c r="J439" s="20">
        <v>0.98532000000000008</v>
      </c>
    </row>
    <row r="440" spans="1:10" x14ac:dyDescent="0.25">
      <c r="A440" s="3" t="s">
        <v>35</v>
      </c>
      <c r="B440" s="3" t="s">
        <v>36</v>
      </c>
      <c r="C440" s="4">
        <v>566</v>
      </c>
      <c r="D440" s="5">
        <v>42181</v>
      </c>
      <c r="E440" s="3" t="s">
        <v>7</v>
      </c>
      <c r="F440" s="4" t="s">
        <v>11</v>
      </c>
      <c r="G440" s="20">
        <v>8.3699999999999992</v>
      </c>
      <c r="H440" s="20">
        <v>3.22</v>
      </c>
      <c r="I440" s="20">
        <v>2.27664</v>
      </c>
      <c r="J440" s="20">
        <v>1.6154099999999998</v>
      </c>
    </row>
    <row r="441" spans="1:10" x14ac:dyDescent="0.25">
      <c r="A441" s="3" t="s">
        <v>35</v>
      </c>
      <c r="B441" s="3" t="s">
        <v>36</v>
      </c>
      <c r="C441" s="4">
        <v>567</v>
      </c>
      <c r="D441" s="5">
        <v>42181</v>
      </c>
      <c r="E441" s="3" t="s">
        <v>7</v>
      </c>
      <c r="F441" s="4" t="s">
        <v>11</v>
      </c>
      <c r="G441" s="20">
        <v>4.8600000000000003</v>
      </c>
      <c r="H441" s="20">
        <v>2.3199999999999998</v>
      </c>
      <c r="I441" s="20">
        <v>1.5454800000000002</v>
      </c>
      <c r="J441" s="20">
        <v>1.2636000000000001</v>
      </c>
    </row>
    <row r="442" spans="1:10" x14ac:dyDescent="0.25">
      <c r="A442" s="3" t="s">
        <v>35</v>
      </c>
      <c r="B442" s="3" t="s">
        <v>36</v>
      </c>
      <c r="C442" s="4">
        <v>568</v>
      </c>
      <c r="D442" s="5">
        <v>42181</v>
      </c>
      <c r="E442" s="3" t="s">
        <v>7</v>
      </c>
      <c r="F442" s="4" t="s">
        <v>9</v>
      </c>
      <c r="G442" s="20">
        <v>2.11</v>
      </c>
      <c r="H442" s="20">
        <v>1.45</v>
      </c>
      <c r="I442" s="20">
        <v>0.42199999999999999</v>
      </c>
      <c r="J442" s="20">
        <v>0.61822999999999995</v>
      </c>
    </row>
    <row r="443" spans="1:10" x14ac:dyDescent="0.25">
      <c r="A443" s="3" t="s">
        <v>35</v>
      </c>
      <c r="B443" s="3" t="s">
        <v>36</v>
      </c>
      <c r="C443" s="4">
        <v>569</v>
      </c>
      <c r="D443" s="5">
        <v>42181</v>
      </c>
      <c r="E443" s="3" t="s">
        <v>7</v>
      </c>
      <c r="F443" s="4" t="s">
        <v>8</v>
      </c>
      <c r="G443" s="20">
        <v>4.1100000000000003</v>
      </c>
      <c r="H443" s="20">
        <v>2.67</v>
      </c>
      <c r="I443" s="20">
        <v>1.1055899999999999</v>
      </c>
      <c r="J443" s="20">
        <v>1.02339</v>
      </c>
    </row>
    <row r="444" spans="1:10" x14ac:dyDescent="0.25">
      <c r="A444" s="3" t="s">
        <v>35</v>
      </c>
      <c r="B444" s="3" t="s">
        <v>36</v>
      </c>
      <c r="C444" s="4">
        <v>570</v>
      </c>
      <c r="D444" s="5">
        <v>42181</v>
      </c>
      <c r="E444" s="3" t="s">
        <v>7</v>
      </c>
      <c r="F444" s="4" t="s">
        <v>11</v>
      </c>
      <c r="G444" s="20">
        <v>2.2200000000000002</v>
      </c>
      <c r="H444" s="20">
        <v>1.58</v>
      </c>
      <c r="I444" s="20">
        <v>0.70152000000000003</v>
      </c>
      <c r="J444" s="20">
        <v>0.37074000000000001</v>
      </c>
    </row>
    <row r="445" spans="1:10" x14ac:dyDescent="0.25">
      <c r="A445" s="3" t="s">
        <v>35</v>
      </c>
      <c r="B445" s="3" t="s">
        <v>36</v>
      </c>
      <c r="C445" s="4">
        <v>571</v>
      </c>
      <c r="D445" s="5">
        <v>42181</v>
      </c>
      <c r="E445" s="3" t="s">
        <v>10</v>
      </c>
      <c r="F445" s="4" t="s">
        <v>8</v>
      </c>
      <c r="G445" s="20">
        <v>2.8</v>
      </c>
      <c r="H445" s="20">
        <v>1.43</v>
      </c>
      <c r="I445" s="20">
        <v>0.95760000000000001</v>
      </c>
      <c r="J445" s="20">
        <v>0.69719999999999993</v>
      </c>
    </row>
    <row r="446" spans="1:10" x14ac:dyDescent="0.25">
      <c r="A446" s="3" t="s">
        <v>35</v>
      </c>
      <c r="B446" s="3" t="s">
        <v>36</v>
      </c>
      <c r="C446" s="4">
        <v>572</v>
      </c>
      <c r="D446" s="5">
        <v>42181</v>
      </c>
      <c r="E446" s="3" t="s">
        <v>10</v>
      </c>
      <c r="F446" s="4" t="s">
        <v>11</v>
      </c>
      <c r="G446" s="20">
        <v>2.2599999999999998</v>
      </c>
      <c r="H446" s="20">
        <v>1.1200000000000001</v>
      </c>
      <c r="I446" s="20">
        <v>0.51979999999999993</v>
      </c>
      <c r="J446" s="20">
        <v>0.80003999999999986</v>
      </c>
    </row>
    <row r="447" spans="1:10" x14ac:dyDescent="0.25">
      <c r="A447" s="3" t="s">
        <v>35</v>
      </c>
      <c r="B447" s="3" t="s">
        <v>36</v>
      </c>
      <c r="C447" s="4">
        <v>573</v>
      </c>
      <c r="D447" s="5">
        <v>42181</v>
      </c>
      <c r="E447" s="3" t="s">
        <v>10</v>
      </c>
      <c r="F447" s="4" t="s">
        <v>11</v>
      </c>
      <c r="G447" s="20">
        <v>2.2799999999999998</v>
      </c>
      <c r="H447" s="20">
        <v>1.42</v>
      </c>
      <c r="I447" s="20">
        <v>0.84587999999999997</v>
      </c>
      <c r="J447" s="20">
        <v>0.26447999999999994</v>
      </c>
    </row>
    <row r="448" spans="1:10" x14ac:dyDescent="0.25">
      <c r="A448" s="3" t="s">
        <v>35</v>
      </c>
      <c r="B448" s="3" t="s">
        <v>36</v>
      </c>
      <c r="C448" s="4">
        <v>574</v>
      </c>
      <c r="D448" s="5">
        <v>42181</v>
      </c>
      <c r="E448" s="3" t="s">
        <v>10</v>
      </c>
      <c r="F448" s="4" t="s">
        <v>11</v>
      </c>
      <c r="G448" s="20">
        <v>4.03</v>
      </c>
      <c r="H448" s="20">
        <v>1.25</v>
      </c>
      <c r="I448" s="20">
        <v>1.2896000000000001</v>
      </c>
      <c r="J448" s="20">
        <v>1.3621399999999999</v>
      </c>
    </row>
    <row r="449" spans="1:10" x14ac:dyDescent="0.25">
      <c r="A449" s="3" t="s">
        <v>35</v>
      </c>
      <c r="B449" s="3" t="s">
        <v>36</v>
      </c>
      <c r="C449" s="4">
        <v>599</v>
      </c>
      <c r="D449" s="5">
        <v>42186</v>
      </c>
      <c r="E449" s="3" t="s">
        <v>7</v>
      </c>
      <c r="F449" s="4" t="s">
        <v>8</v>
      </c>
      <c r="G449" s="20">
        <v>3.36</v>
      </c>
      <c r="H449" s="20">
        <v>2.2799999999999998</v>
      </c>
      <c r="I449" s="20">
        <v>0.85007999999999995</v>
      </c>
      <c r="J449" s="20">
        <v>0.80303999999999998</v>
      </c>
    </row>
    <row r="450" spans="1:10" x14ac:dyDescent="0.25">
      <c r="A450" s="3" t="s">
        <v>35</v>
      </c>
      <c r="B450" s="3" t="s">
        <v>36</v>
      </c>
      <c r="C450" s="4">
        <v>600</v>
      </c>
      <c r="D450" s="5">
        <v>42186</v>
      </c>
      <c r="E450" s="3" t="s">
        <v>7</v>
      </c>
      <c r="F450" s="4" t="s">
        <v>11</v>
      </c>
      <c r="G450" s="20">
        <v>4.28</v>
      </c>
      <c r="H450" s="20">
        <v>1.58</v>
      </c>
      <c r="I450" s="20">
        <v>1.40384</v>
      </c>
      <c r="J450" s="20">
        <v>1.1898400000000002</v>
      </c>
    </row>
    <row r="451" spans="1:10" x14ac:dyDescent="0.25">
      <c r="A451" s="3" t="s">
        <v>35</v>
      </c>
      <c r="B451" s="3" t="s">
        <v>36</v>
      </c>
      <c r="C451" s="4">
        <v>701</v>
      </c>
      <c r="D451" s="5">
        <v>42186</v>
      </c>
      <c r="E451" s="3" t="s">
        <v>10</v>
      </c>
      <c r="F451" s="4" t="s">
        <v>8</v>
      </c>
      <c r="G451" s="20">
        <v>2.34</v>
      </c>
      <c r="H451" s="20">
        <v>2.36</v>
      </c>
      <c r="I451" s="20">
        <v>0.60839999999999994</v>
      </c>
      <c r="J451" s="20">
        <v>0.36503999999999998</v>
      </c>
    </row>
    <row r="452" spans="1:10" x14ac:dyDescent="0.25">
      <c r="A452" s="3" t="s">
        <v>35</v>
      </c>
      <c r="B452" s="3" t="s">
        <v>36</v>
      </c>
      <c r="C452" s="4">
        <v>702</v>
      </c>
      <c r="D452" s="5">
        <v>42186</v>
      </c>
      <c r="E452" s="3" t="s">
        <v>10</v>
      </c>
      <c r="F452" s="4" t="s">
        <v>11</v>
      </c>
      <c r="G452" s="20">
        <v>2.81</v>
      </c>
      <c r="H452" s="20">
        <v>2.4500000000000002</v>
      </c>
      <c r="I452" s="20">
        <v>0.73060000000000003</v>
      </c>
      <c r="J452" s="20">
        <v>0.55357000000000001</v>
      </c>
    </row>
    <row r="453" spans="1:10" x14ac:dyDescent="0.25">
      <c r="A453" s="3" t="s">
        <v>35</v>
      </c>
      <c r="B453" s="3" t="s">
        <v>36</v>
      </c>
      <c r="C453" s="4">
        <v>703</v>
      </c>
      <c r="D453" s="5">
        <v>42186</v>
      </c>
      <c r="E453" s="3" t="s">
        <v>10</v>
      </c>
      <c r="F453" s="4" t="s">
        <v>11</v>
      </c>
      <c r="G453" s="20">
        <v>2.1800000000000002</v>
      </c>
      <c r="H453" s="20">
        <v>1.23</v>
      </c>
      <c r="I453" s="20">
        <v>0.68234000000000006</v>
      </c>
      <c r="J453" s="20">
        <v>0.38150000000000001</v>
      </c>
    </row>
    <row r="454" spans="1:10" x14ac:dyDescent="0.25">
      <c r="A454" s="3" t="s">
        <v>35</v>
      </c>
      <c r="B454" s="3" t="s">
        <v>36</v>
      </c>
      <c r="C454" s="4">
        <v>741</v>
      </c>
      <c r="D454" s="5">
        <v>42199</v>
      </c>
      <c r="E454" s="3" t="s">
        <v>7</v>
      </c>
      <c r="F454" s="4" t="s">
        <v>8</v>
      </c>
      <c r="G454" s="20">
        <v>3.79</v>
      </c>
      <c r="H454" s="20">
        <v>3.31</v>
      </c>
      <c r="I454" s="20">
        <v>0.93613000000000002</v>
      </c>
      <c r="J454" s="20">
        <v>0.80727000000000004</v>
      </c>
    </row>
    <row r="455" spans="1:10" x14ac:dyDescent="0.25">
      <c r="A455" s="3" t="s">
        <v>35</v>
      </c>
      <c r="B455" s="3" t="s">
        <v>36</v>
      </c>
      <c r="C455" s="4">
        <v>742</v>
      </c>
      <c r="D455" s="5">
        <v>42199</v>
      </c>
      <c r="E455" s="3" t="s">
        <v>7</v>
      </c>
      <c r="F455" s="4" t="s">
        <v>11</v>
      </c>
      <c r="G455" s="20">
        <v>3.19</v>
      </c>
      <c r="H455" s="20">
        <v>1.46</v>
      </c>
      <c r="I455" s="20">
        <v>0.86449000000000009</v>
      </c>
      <c r="J455" s="20">
        <v>0.79749999999999999</v>
      </c>
    </row>
    <row r="456" spans="1:10" x14ac:dyDescent="0.25">
      <c r="A456" s="3" t="s">
        <v>35</v>
      </c>
      <c r="B456" s="3" t="s">
        <v>36</v>
      </c>
      <c r="C456" s="4">
        <v>743</v>
      </c>
      <c r="D456" s="5">
        <v>42199</v>
      </c>
      <c r="E456" s="3" t="s">
        <v>7</v>
      </c>
      <c r="F456" s="4" t="s">
        <v>11</v>
      </c>
      <c r="G456" s="20">
        <v>3.91</v>
      </c>
      <c r="H456" s="20">
        <v>2.14</v>
      </c>
      <c r="I456" s="20">
        <v>1.2903</v>
      </c>
      <c r="J456" s="20">
        <v>0.89148000000000005</v>
      </c>
    </row>
    <row r="457" spans="1:10" x14ac:dyDescent="0.25">
      <c r="A457" s="3" t="s">
        <v>35</v>
      </c>
      <c r="B457" s="3" t="s">
        <v>36</v>
      </c>
      <c r="C457" s="4">
        <v>744</v>
      </c>
      <c r="D457" s="5">
        <v>42199</v>
      </c>
      <c r="E457" s="3" t="s">
        <v>7</v>
      </c>
      <c r="F457" s="4" t="s">
        <v>11</v>
      </c>
      <c r="G457" s="20">
        <v>4.57</v>
      </c>
      <c r="H457" s="20">
        <v>2.56</v>
      </c>
      <c r="I457" s="20">
        <v>1.1013700000000002</v>
      </c>
      <c r="J457" s="20">
        <v>0.61238000000000004</v>
      </c>
    </row>
    <row r="458" spans="1:10" x14ac:dyDescent="0.25">
      <c r="A458" s="3" t="s">
        <v>35</v>
      </c>
      <c r="B458" s="3" t="s">
        <v>36</v>
      </c>
      <c r="C458" s="4">
        <v>745</v>
      </c>
      <c r="D458" s="5">
        <v>42199</v>
      </c>
      <c r="E458" s="3" t="s">
        <v>10</v>
      </c>
      <c r="F458" s="4" t="s">
        <v>8</v>
      </c>
      <c r="G458" s="20">
        <v>2.89</v>
      </c>
      <c r="H458" s="20">
        <v>1.29</v>
      </c>
      <c r="I458" s="20">
        <v>0.88434000000000001</v>
      </c>
      <c r="J458" s="20">
        <v>0.68204000000000009</v>
      </c>
    </row>
    <row r="459" spans="1:10" x14ac:dyDescent="0.25">
      <c r="A459" s="3" t="s">
        <v>35</v>
      </c>
      <c r="B459" s="3" t="s">
        <v>36</v>
      </c>
      <c r="C459" s="4">
        <v>746</v>
      </c>
      <c r="D459" s="5">
        <v>42199</v>
      </c>
      <c r="E459" s="3" t="s">
        <v>10</v>
      </c>
      <c r="F459" s="4" t="s">
        <v>11</v>
      </c>
      <c r="G459" s="20">
        <v>2.52</v>
      </c>
      <c r="H459" s="20">
        <v>0.82</v>
      </c>
      <c r="I459" s="20">
        <v>0.5796</v>
      </c>
      <c r="J459" s="20">
        <v>0.82907999999999993</v>
      </c>
    </row>
    <row r="460" spans="1:10" x14ac:dyDescent="0.25">
      <c r="A460" s="3" t="s">
        <v>35</v>
      </c>
      <c r="B460" s="3" t="s">
        <v>36</v>
      </c>
      <c r="C460" s="4">
        <v>747</v>
      </c>
      <c r="D460" s="5">
        <v>42199</v>
      </c>
      <c r="E460" s="3" t="s">
        <v>10</v>
      </c>
      <c r="F460" s="4" t="s">
        <v>11</v>
      </c>
      <c r="G460" s="20">
        <v>3.29</v>
      </c>
      <c r="H460" s="20">
        <v>1.06</v>
      </c>
      <c r="I460" s="20">
        <v>1.0922800000000001</v>
      </c>
      <c r="J460" s="20">
        <v>0.87185000000000001</v>
      </c>
    </row>
    <row r="461" spans="1:10" x14ac:dyDescent="0.25">
      <c r="A461" s="3" t="s">
        <v>37</v>
      </c>
      <c r="B461" s="3" t="s">
        <v>38</v>
      </c>
      <c r="C461" s="4">
        <v>88</v>
      </c>
      <c r="D461" s="5">
        <v>42083</v>
      </c>
      <c r="E461" s="3" t="s">
        <v>7</v>
      </c>
      <c r="F461" s="4" t="s">
        <v>8</v>
      </c>
      <c r="G461" s="20">
        <v>3.63</v>
      </c>
      <c r="H461" s="20">
        <v>0.92</v>
      </c>
      <c r="I461" s="20">
        <v>0.70421999999999985</v>
      </c>
      <c r="J461" s="20">
        <v>0.65339999999999998</v>
      </c>
    </row>
    <row r="462" spans="1:10" x14ac:dyDescent="0.25">
      <c r="A462" s="3" t="s">
        <v>37</v>
      </c>
      <c r="B462" s="3" t="s">
        <v>38</v>
      </c>
      <c r="C462" s="4">
        <v>89</v>
      </c>
      <c r="D462" s="5">
        <v>42083</v>
      </c>
      <c r="E462" s="3" t="s">
        <v>7</v>
      </c>
      <c r="F462" s="4" t="s">
        <v>8</v>
      </c>
      <c r="G462" s="20">
        <v>4.59</v>
      </c>
      <c r="H462" s="20">
        <v>1.23</v>
      </c>
      <c r="I462" s="20">
        <v>1.5284699999999998</v>
      </c>
      <c r="J462" s="20">
        <v>0.6885</v>
      </c>
    </row>
    <row r="463" spans="1:10" x14ac:dyDescent="0.25">
      <c r="A463" s="3" t="s">
        <v>37</v>
      </c>
      <c r="B463" s="3" t="s">
        <v>38</v>
      </c>
      <c r="C463" s="4">
        <v>90</v>
      </c>
      <c r="D463" s="5">
        <v>42083</v>
      </c>
      <c r="E463" s="3" t="s">
        <v>7</v>
      </c>
      <c r="F463" s="4" t="s">
        <v>11</v>
      </c>
      <c r="G463" s="20">
        <v>4.0199999999999996</v>
      </c>
      <c r="H463" s="20">
        <v>0.38</v>
      </c>
      <c r="I463" s="20">
        <v>1.1255999999999999</v>
      </c>
      <c r="J463" s="20">
        <v>0.93665999999999994</v>
      </c>
    </row>
    <row r="464" spans="1:10" x14ac:dyDescent="0.25">
      <c r="A464" s="3" t="s">
        <v>37</v>
      </c>
      <c r="B464" s="3" t="s">
        <v>38</v>
      </c>
      <c r="C464" s="4">
        <v>91</v>
      </c>
      <c r="D464" s="5">
        <v>42083</v>
      </c>
      <c r="E464" s="3" t="s">
        <v>7</v>
      </c>
      <c r="F464" s="4" t="s">
        <v>11</v>
      </c>
      <c r="G464" s="20">
        <v>2.54</v>
      </c>
      <c r="H464" s="20">
        <v>0.17</v>
      </c>
      <c r="I464" s="20">
        <v>0.66039999999999999</v>
      </c>
      <c r="J464" s="20">
        <v>0.47498000000000001</v>
      </c>
    </row>
    <row r="465" spans="1:10" x14ac:dyDescent="0.25">
      <c r="A465" s="3" t="s">
        <v>37</v>
      </c>
      <c r="B465" s="3" t="s">
        <v>38</v>
      </c>
      <c r="C465" s="4">
        <v>93</v>
      </c>
      <c r="D465" s="5">
        <v>42083</v>
      </c>
      <c r="E465" s="8" t="s">
        <v>10</v>
      </c>
      <c r="F465" s="4" t="s">
        <v>11</v>
      </c>
      <c r="G465" s="20">
        <v>4.04</v>
      </c>
      <c r="H465" s="20">
        <v>0.46</v>
      </c>
      <c r="I465" s="20">
        <v>1.0019199999999999</v>
      </c>
      <c r="J465" s="20">
        <v>1.0827200000000001</v>
      </c>
    </row>
    <row r="466" spans="1:10" x14ac:dyDescent="0.25">
      <c r="A466" s="3" t="s">
        <v>37</v>
      </c>
      <c r="B466" s="3" t="s">
        <v>38</v>
      </c>
      <c r="C466" s="4">
        <v>94</v>
      </c>
      <c r="D466" s="5">
        <v>42083</v>
      </c>
      <c r="E466" s="8" t="s">
        <v>10</v>
      </c>
      <c r="F466" s="4" t="s">
        <v>11</v>
      </c>
      <c r="G466" s="20">
        <v>1.86</v>
      </c>
      <c r="H466" s="20">
        <v>0.09</v>
      </c>
      <c r="I466" s="20">
        <v>0.50963999999999998</v>
      </c>
      <c r="J466" s="20">
        <v>0.57474000000000003</v>
      </c>
    </row>
    <row r="467" spans="1:10" x14ac:dyDescent="0.25">
      <c r="A467" s="3" t="s">
        <v>37</v>
      </c>
      <c r="B467" s="3" t="s">
        <v>38</v>
      </c>
      <c r="C467" s="4">
        <v>95</v>
      </c>
      <c r="D467" s="5">
        <v>42083</v>
      </c>
      <c r="E467" s="8" t="s">
        <v>10</v>
      </c>
      <c r="F467" s="4" t="s">
        <v>9</v>
      </c>
      <c r="G467" s="20">
        <v>1.51</v>
      </c>
      <c r="H467" s="20">
        <v>0.15</v>
      </c>
      <c r="I467" s="20">
        <v>0.13469200000000001</v>
      </c>
      <c r="J467" s="20">
        <v>0.41223000000000004</v>
      </c>
    </row>
    <row r="468" spans="1:10" x14ac:dyDescent="0.25">
      <c r="A468" s="3" t="s">
        <v>37</v>
      </c>
      <c r="B468" s="3" t="s">
        <v>38</v>
      </c>
      <c r="C468" s="4">
        <v>96</v>
      </c>
      <c r="D468" s="5">
        <v>42083</v>
      </c>
      <c r="E468" s="8" t="s">
        <v>10</v>
      </c>
      <c r="F468" s="4" t="s">
        <v>9</v>
      </c>
      <c r="G468" s="20">
        <v>1.36</v>
      </c>
      <c r="H468" s="20">
        <v>0.45</v>
      </c>
      <c r="I468" s="20">
        <v>0.114512</v>
      </c>
      <c r="J468" s="20">
        <v>0.30056000000000005</v>
      </c>
    </row>
    <row r="469" spans="1:10" x14ac:dyDescent="0.25">
      <c r="A469" s="3" t="s">
        <v>37</v>
      </c>
      <c r="B469" s="3" t="s">
        <v>38</v>
      </c>
      <c r="C469" s="4">
        <v>108</v>
      </c>
      <c r="D469" s="5">
        <v>42088</v>
      </c>
      <c r="E469" s="3" t="s">
        <v>7</v>
      </c>
      <c r="F469" s="4" t="s">
        <v>8</v>
      </c>
      <c r="G469" s="20">
        <v>6.75</v>
      </c>
      <c r="H469" s="20">
        <v>0.21</v>
      </c>
      <c r="I469" s="20">
        <v>2.4975000000000001</v>
      </c>
      <c r="J469" s="20">
        <v>0.93150000000000011</v>
      </c>
    </row>
    <row r="470" spans="1:10" x14ac:dyDescent="0.25">
      <c r="A470" s="3" t="s">
        <v>37</v>
      </c>
      <c r="B470" s="3" t="s">
        <v>38</v>
      </c>
      <c r="C470" s="4">
        <v>109</v>
      </c>
      <c r="D470" s="5">
        <v>42088</v>
      </c>
      <c r="E470" s="3" t="s">
        <v>7</v>
      </c>
      <c r="F470" s="4" t="s">
        <v>11</v>
      </c>
      <c r="G470" s="20">
        <v>3.71</v>
      </c>
      <c r="H470" s="20">
        <v>0.14000000000000001</v>
      </c>
      <c r="I470" s="20">
        <v>1.28366</v>
      </c>
      <c r="J470" s="20">
        <v>0.55649999999999999</v>
      </c>
    </row>
    <row r="471" spans="1:10" x14ac:dyDescent="0.25">
      <c r="A471" s="3" t="s">
        <v>37</v>
      </c>
      <c r="B471" s="3" t="s">
        <v>38</v>
      </c>
      <c r="C471" s="4">
        <v>110</v>
      </c>
      <c r="D471" s="5">
        <v>42088</v>
      </c>
      <c r="E471" s="3" t="s">
        <v>10</v>
      </c>
      <c r="F471" s="4" t="s">
        <v>8</v>
      </c>
      <c r="G471" s="20">
        <v>3.54</v>
      </c>
      <c r="H471" s="20">
        <v>1.05</v>
      </c>
      <c r="I471" s="20">
        <v>0.97704000000000013</v>
      </c>
      <c r="J471" s="20">
        <v>0.81774000000000002</v>
      </c>
    </row>
    <row r="472" spans="1:10" x14ac:dyDescent="0.25">
      <c r="A472" s="3" t="s">
        <v>37</v>
      </c>
      <c r="B472" s="3" t="s">
        <v>38</v>
      </c>
      <c r="C472" s="4">
        <v>112</v>
      </c>
      <c r="D472" s="5">
        <v>42088</v>
      </c>
      <c r="E472" s="3" t="s">
        <v>10</v>
      </c>
      <c r="F472" s="4" t="s">
        <v>11</v>
      </c>
      <c r="G472" s="20">
        <v>2.82</v>
      </c>
      <c r="H472" s="20">
        <v>0.23</v>
      </c>
      <c r="I472" s="20">
        <v>0.77832000000000001</v>
      </c>
      <c r="J472" s="20">
        <v>0.72755999999999998</v>
      </c>
    </row>
    <row r="473" spans="1:10" x14ac:dyDescent="0.25">
      <c r="A473" s="3" t="s">
        <v>37</v>
      </c>
      <c r="B473" s="3" t="s">
        <v>38</v>
      </c>
      <c r="C473" s="4">
        <v>113</v>
      </c>
      <c r="D473" s="5">
        <v>42088</v>
      </c>
      <c r="E473" s="3" t="s">
        <v>10</v>
      </c>
      <c r="F473" s="4" t="s">
        <v>11</v>
      </c>
      <c r="G473" s="20">
        <v>3.29</v>
      </c>
      <c r="H473" s="20">
        <v>0.28999999999999998</v>
      </c>
      <c r="I473" s="20">
        <v>1.05609</v>
      </c>
      <c r="J473" s="20">
        <v>0.66787000000000007</v>
      </c>
    </row>
    <row r="474" spans="1:10" x14ac:dyDescent="0.25">
      <c r="A474" s="3" t="s">
        <v>37</v>
      </c>
      <c r="B474" s="3" t="s">
        <v>38</v>
      </c>
      <c r="C474" s="4">
        <v>114</v>
      </c>
      <c r="D474" s="5">
        <v>42088</v>
      </c>
      <c r="E474" s="3" t="s">
        <v>7</v>
      </c>
      <c r="F474" s="4" t="s">
        <v>11</v>
      </c>
      <c r="G474" s="20">
        <v>3.21</v>
      </c>
      <c r="H474" s="20">
        <v>7.0000000000000007E-2</v>
      </c>
      <c r="I474" s="20">
        <v>1.0047299999999999</v>
      </c>
      <c r="J474" s="20">
        <v>0.56174999999999997</v>
      </c>
    </row>
    <row r="475" spans="1:10" x14ac:dyDescent="0.25">
      <c r="A475" s="3" t="s">
        <v>37</v>
      </c>
      <c r="B475" s="3" t="s">
        <v>38</v>
      </c>
      <c r="C475" s="4">
        <v>115</v>
      </c>
      <c r="D475" s="5">
        <v>42088</v>
      </c>
      <c r="E475" s="3" t="s">
        <v>7</v>
      </c>
      <c r="F475" s="4" t="s">
        <v>11</v>
      </c>
      <c r="G475" s="20">
        <v>3.7</v>
      </c>
      <c r="H475" s="20">
        <v>0.14000000000000001</v>
      </c>
      <c r="I475" s="20">
        <v>1.2949999999999999</v>
      </c>
      <c r="J475" s="20">
        <v>0.64010000000000011</v>
      </c>
    </row>
    <row r="476" spans="1:10" x14ac:dyDescent="0.25">
      <c r="A476" s="3" t="s">
        <v>37</v>
      </c>
      <c r="B476" s="3" t="s">
        <v>38</v>
      </c>
      <c r="C476" s="4">
        <v>140</v>
      </c>
      <c r="D476" s="5">
        <v>42101</v>
      </c>
      <c r="E476" s="3" t="s">
        <v>7</v>
      </c>
      <c r="F476" s="4" t="s">
        <v>8</v>
      </c>
      <c r="G476" s="20">
        <v>3.16</v>
      </c>
      <c r="H476" s="20">
        <v>0.38</v>
      </c>
      <c r="I476" s="20">
        <v>1.00488</v>
      </c>
      <c r="J476" s="20">
        <v>0.62883999999999995</v>
      </c>
    </row>
    <row r="477" spans="1:10" x14ac:dyDescent="0.25">
      <c r="A477" s="3" t="s">
        <v>37</v>
      </c>
      <c r="B477" s="3" t="s">
        <v>38</v>
      </c>
      <c r="C477" s="4">
        <v>141</v>
      </c>
      <c r="D477" s="5">
        <v>42101</v>
      </c>
      <c r="E477" s="3" t="s">
        <v>7</v>
      </c>
      <c r="F477" s="4" t="s">
        <v>32</v>
      </c>
      <c r="G477" s="20">
        <v>3.2</v>
      </c>
      <c r="H477" s="20">
        <v>0.49</v>
      </c>
      <c r="I477" s="20">
        <v>0.85760000000000014</v>
      </c>
      <c r="J477" s="20">
        <v>0.64000000000000012</v>
      </c>
    </row>
    <row r="478" spans="1:10" x14ac:dyDescent="0.25">
      <c r="A478" s="3" t="s">
        <v>37</v>
      </c>
      <c r="B478" s="3" t="s">
        <v>38</v>
      </c>
      <c r="C478" s="4">
        <v>142</v>
      </c>
      <c r="D478" s="5">
        <v>42101</v>
      </c>
      <c r="E478" s="3" t="s">
        <v>7</v>
      </c>
      <c r="F478" s="4" t="s">
        <v>32</v>
      </c>
      <c r="G478" s="20">
        <v>3.77</v>
      </c>
      <c r="H478" s="20">
        <v>0.31</v>
      </c>
      <c r="I478" s="20">
        <v>1.17624</v>
      </c>
      <c r="J478" s="20">
        <v>0.6710600000000001</v>
      </c>
    </row>
    <row r="479" spans="1:10" x14ac:dyDescent="0.25">
      <c r="A479" s="3" t="s">
        <v>37</v>
      </c>
      <c r="B479" s="3" t="s">
        <v>38</v>
      </c>
      <c r="C479" s="4">
        <v>143</v>
      </c>
      <c r="D479" s="5">
        <v>42101</v>
      </c>
      <c r="E479" s="3" t="s">
        <v>10</v>
      </c>
      <c r="F479" s="4" t="s">
        <v>8</v>
      </c>
      <c r="G479" s="20">
        <v>3.48</v>
      </c>
      <c r="H479" s="20">
        <v>0.36</v>
      </c>
      <c r="I479" s="20">
        <v>1.1240399999999999</v>
      </c>
      <c r="J479" s="20">
        <v>0.75515999999999994</v>
      </c>
    </row>
    <row r="480" spans="1:10" x14ac:dyDescent="0.25">
      <c r="A480" s="3" t="s">
        <v>37</v>
      </c>
      <c r="B480" s="3" t="s">
        <v>38</v>
      </c>
      <c r="C480" s="4">
        <v>144</v>
      </c>
      <c r="D480" s="5">
        <v>42101</v>
      </c>
      <c r="E480" s="3" t="s">
        <v>10</v>
      </c>
      <c r="F480" s="4" t="s">
        <v>11</v>
      </c>
      <c r="G480" s="20">
        <v>3</v>
      </c>
      <c r="H480" s="20">
        <v>0.25</v>
      </c>
      <c r="I480" s="20">
        <v>0.90900000000000003</v>
      </c>
      <c r="J480" s="20">
        <v>0.93300000000000005</v>
      </c>
    </row>
    <row r="481" spans="1:10" x14ac:dyDescent="0.25">
      <c r="A481" s="3" t="s">
        <v>37</v>
      </c>
      <c r="B481" s="3" t="s">
        <v>38</v>
      </c>
      <c r="C481" s="4">
        <v>145</v>
      </c>
      <c r="D481" s="5">
        <v>42101</v>
      </c>
      <c r="E481" s="3" t="s">
        <v>10</v>
      </c>
      <c r="F481" s="4" t="s">
        <v>11</v>
      </c>
      <c r="G481" s="20">
        <v>2.91</v>
      </c>
      <c r="H481" s="20">
        <v>0.28999999999999998</v>
      </c>
      <c r="I481" s="20">
        <v>0.93120000000000003</v>
      </c>
      <c r="J481" s="20">
        <v>0.72459000000000007</v>
      </c>
    </row>
    <row r="482" spans="1:10" x14ac:dyDescent="0.25">
      <c r="A482" s="3" t="s">
        <v>37</v>
      </c>
      <c r="B482" s="3" t="s">
        <v>38</v>
      </c>
      <c r="C482" s="4">
        <v>146</v>
      </c>
      <c r="D482" s="5">
        <v>42101</v>
      </c>
      <c r="E482" s="3" t="s">
        <v>7</v>
      </c>
      <c r="F482" s="4" t="s">
        <v>32</v>
      </c>
      <c r="G482" s="20">
        <v>2.5299999999999998</v>
      </c>
      <c r="H482" s="20">
        <v>0.2</v>
      </c>
      <c r="I482" s="20">
        <v>0.79188999999999998</v>
      </c>
      <c r="J482" s="20">
        <v>0.45793</v>
      </c>
    </row>
    <row r="483" spans="1:10" x14ac:dyDescent="0.25">
      <c r="A483" s="3" t="s">
        <v>37</v>
      </c>
      <c r="B483" s="3" t="s">
        <v>38</v>
      </c>
      <c r="C483" s="4">
        <v>147</v>
      </c>
      <c r="D483" s="5">
        <v>42101</v>
      </c>
      <c r="E483" s="3" t="s">
        <v>7</v>
      </c>
      <c r="F483" s="4" t="s">
        <v>32</v>
      </c>
      <c r="G483" s="20">
        <v>2.91</v>
      </c>
      <c r="H483" s="20">
        <v>0.12</v>
      </c>
      <c r="I483" s="20">
        <v>1.0417799999999999</v>
      </c>
      <c r="J483" s="20">
        <v>0.62565000000000004</v>
      </c>
    </row>
    <row r="484" spans="1:10" x14ac:dyDescent="0.25">
      <c r="A484" s="3" t="s">
        <v>37</v>
      </c>
      <c r="B484" s="3" t="s">
        <v>38</v>
      </c>
      <c r="C484" s="4">
        <v>148</v>
      </c>
      <c r="D484" s="5">
        <v>42101</v>
      </c>
      <c r="E484" s="3" t="s">
        <v>10</v>
      </c>
      <c r="F484" s="4" t="s">
        <v>11</v>
      </c>
      <c r="G484" s="20">
        <v>2.95</v>
      </c>
      <c r="H484" s="20">
        <v>0.16</v>
      </c>
      <c r="I484" s="20">
        <v>1.0708500000000001</v>
      </c>
      <c r="J484" s="20">
        <v>0.78765000000000007</v>
      </c>
    </row>
    <row r="485" spans="1:10" x14ac:dyDescent="0.25">
      <c r="A485" s="3" t="s">
        <v>37</v>
      </c>
      <c r="B485" s="3" t="s">
        <v>38</v>
      </c>
      <c r="C485" s="4">
        <v>164</v>
      </c>
      <c r="D485" s="5">
        <v>42111</v>
      </c>
      <c r="E485" s="3" t="s">
        <v>10</v>
      </c>
      <c r="F485" s="4" t="s">
        <v>8</v>
      </c>
      <c r="G485" s="23">
        <v>4.4000000000000004</v>
      </c>
      <c r="H485" s="23">
        <v>0.66</v>
      </c>
      <c r="I485" s="20">
        <v>1.5840000000000001</v>
      </c>
      <c r="J485" s="20">
        <v>1.1792000000000002</v>
      </c>
    </row>
    <row r="486" spans="1:10" x14ac:dyDescent="0.25">
      <c r="A486" s="3" t="s">
        <v>37</v>
      </c>
      <c r="B486" s="3" t="s">
        <v>38</v>
      </c>
      <c r="C486" s="4">
        <v>165</v>
      </c>
      <c r="D486" s="5">
        <v>42111</v>
      </c>
      <c r="E486" s="3" t="s">
        <v>10</v>
      </c>
      <c r="F486" s="4" t="s">
        <v>11</v>
      </c>
      <c r="G486" s="23">
        <v>4.58</v>
      </c>
      <c r="H486" s="23">
        <v>0.87</v>
      </c>
      <c r="I486" s="20">
        <v>1.89154</v>
      </c>
      <c r="J486" s="20">
        <v>1.0992</v>
      </c>
    </row>
    <row r="487" spans="1:10" x14ac:dyDescent="0.25">
      <c r="A487" s="3" t="s">
        <v>37</v>
      </c>
      <c r="B487" s="3" t="s">
        <v>38</v>
      </c>
      <c r="C487" s="4">
        <v>166</v>
      </c>
      <c r="D487" s="5">
        <v>42111</v>
      </c>
      <c r="E487" s="3" t="s">
        <v>10</v>
      </c>
      <c r="F487" s="4" t="s">
        <v>11</v>
      </c>
      <c r="G487" s="20">
        <v>3.85</v>
      </c>
      <c r="H487" s="20">
        <v>0.75</v>
      </c>
      <c r="I487" s="20">
        <v>1.59005</v>
      </c>
      <c r="J487" s="20">
        <v>0.82389999999999997</v>
      </c>
    </row>
    <row r="488" spans="1:10" x14ac:dyDescent="0.25">
      <c r="A488" s="3" t="s">
        <v>37</v>
      </c>
      <c r="B488" s="3" t="s">
        <v>38</v>
      </c>
      <c r="C488" s="4">
        <v>167</v>
      </c>
      <c r="D488" s="5">
        <v>42111</v>
      </c>
      <c r="E488" s="3" t="s">
        <v>7</v>
      </c>
      <c r="F488" s="4" t="s">
        <v>8</v>
      </c>
      <c r="G488" s="23">
        <v>3.89</v>
      </c>
      <c r="H488" s="23">
        <v>0.64</v>
      </c>
      <c r="I488" s="20">
        <v>1.50543</v>
      </c>
      <c r="J488" s="20">
        <v>0.89080999999999999</v>
      </c>
    </row>
    <row r="489" spans="1:10" x14ac:dyDescent="0.25">
      <c r="A489" s="3" t="s">
        <v>37</v>
      </c>
      <c r="B489" s="3" t="s">
        <v>38</v>
      </c>
      <c r="C489" s="4">
        <v>168</v>
      </c>
      <c r="D489" s="5">
        <v>42111</v>
      </c>
      <c r="E489" s="3" t="s">
        <v>7</v>
      </c>
      <c r="F489" s="4" t="s">
        <v>11</v>
      </c>
      <c r="G489" s="23">
        <v>2.65</v>
      </c>
      <c r="H489" s="23">
        <v>0.42</v>
      </c>
      <c r="I489" s="20">
        <v>0.91159999999999985</v>
      </c>
      <c r="J489" s="20">
        <v>0.65984999999999994</v>
      </c>
    </row>
    <row r="490" spans="1:10" x14ac:dyDescent="0.25">
      <c r="A490" s="17" t="s">
        <v>37</v>
      </c>
      <c r="B490" s="17" t="s">
        <v>38</v>
      </c>
      <c r="C490" s="13">
        <v>353</v>
      </c>
      <c r="D490" s="5">
        <v>42031</v>
      </c>
      <c r="E490" s="16" t="s">
        <v>7</v>
      </c>
      <c r="F490" s="4" t="s">
        <v>9</v>
      </c>
      <c r="G490" s="25">
        <v>1.51</v>
      </c>
      <c r="H490" s="20">
        <v>0.08</v>
      </c>
      <c r="I490" s="20">
        <v>0.22197</v>
      </c>
      <c r="J490" s="20">
        <v>0.19177</v>
      </c>
    </row>
    <row r="491" spans="1:10" x14ac:dyDescent="0.25">
      <c r="A491" s="17" t="s">
        <v>37</v>
      </c>
      <c r="B491" s="17" t="s">
        <v>38</v>
      </c>
      <c r="C491" s="13">
        <v>354</v>
      </c>
      <c r="D491" s="5">
        <v>42031</v>
      </c>
      <c r="E491" s="16" t="s">
        <v>7</v>
      </c>
      <c r="F491" s="4" t="s">
        <v>9</v>
      </c>
      <c r="G491" s="20">
        <v>1.82</v>
      </c>
      <c r="H491" s="20">
        <v>0.12</v>
      </c>
      <c r="I491" s="20">
        <v>0.34397999999999995</v>
      </c>
      <c r="J491" s="20">
        <v>0.28573999999999999</v>
      </c>
    </row>
    <row r="492" spans="1:10" x14ac:dyDescent="0.25">
      <c r="A492" s="17" t="s">
        <v>37</v>
      </c>
      <c r="B492" s="17" t="s">
        <v>38</v>
      </c>
      <c r="C492" s="13">
        <v>355</v>
      </c>
      <c r="D492" s="5">
        <v>42031</v>
      </c>
      <c r="E492" s="16" t="s">
        <v>7</v>
      </c>
      <c r="F492" s="4" t="s">
        <v>8</v>
      </c>
      <c r="G492" s="20">
        <v>4.7300000000000004</v>
      </c>
      <c r="H492" s="20">
        <v>0.08</v>
      </c>
      <c r="I492" s="20">
        <v>2.24675</v>
      </c>
      <c r="J492" s="20">
        <v>0.55814000000000008</v>
      </c>
    </row>
    <row r="493" spans="1:10" x14ac:dyDescent="0.25">
      <c r="A493" s="17" t="s">
        <v>37</v>
      </c>
      <c r="B493" s="17" t="s">
        <v>38</v>
      </c>
      <c r="C493" s="13">
        <v>356</v>
      </c>
      <c r="D493" s="5">
        <v>42031</v>
      </c>
      <c r="E493" s="16" t="s">
        <v>7</v>
      </c>
      <c r="F493" s="4" t="s">
        <v>8</v>
      </c>
      <c r="G493" s="20">
        <v>5.66</v>
      </c>
      <c r="H493" s="20">
        <v>0.08</v>
      </c>
      <c r="I493" s="20">
        <v>2.8356600000000003</v>
      </c>
      <c r="J493" s="20">
        <v>0.50770199999999999</v>
      </c>
    </row>
    <row r="494" spans="1:10" x14ac:dyDescent="0.25">
      <c r="A494" s="17" t="s">
        <v>37</v>
      </c>
      <c r="B494" s="17" t="s">
        <v>38</v>
      </c>
      <c r="C494" s="13">
        <v>357</v>
      </c>
      <c r="D494" s="5">
        <v>42031</v>
      </c>
      <c r="E494" s="16" t="s">
        <v>7</v>
      </c>
      <c r="F494" s="4" t="s">
        <v>8</v>
      </c>
      <c r="G494" s="20">
        <v>4.29</v>
      </c>
      <c r="H494" s="20">
        <v>0.11</v>
      </c>
      <c r="I494" s="20">
        <v>2.1879</v>
      </c>
      <c r="J494" s="20">
        <v>0.48047999999999996</v>
      </c>
    </row>
    <row r="495" spans="1:10" x14ac:dyDescent="0.25">
      <c r="A495" s="17" t="s">
        <v>37</v>
      </c>
      <c r="B495" s="17" t="s">
        <v>38</v>
      </c>
      <c r="C495" s="13">
        <v>358</v>
      </c>
      <c r="D495" s="5">
        <v>42031</v>
      </c>
      <c r="E495" s="15" t="s">
        <v>10</v>
      </c>
      <c r="F495" s="4" t="s">
        <v>9</v>
      </c>
      <c r="G495" s="20">
        <v>1.56</v>
      </c>
      <c r="H495" s="20">
        <v>0.41</v>
      </c>
      <c r="I495" s="20">
        <v>0.19500000000000001</v>
      </c>
      <c r="J495" s="20">
        <v>0.32291999999999998</v>
      </c>
    </row>
    <row r="496" spans="1:10" x14ac:dyDescent="0.25">
      <c r="A496" s="17" t="s">
        <v>37</v>
      </c>
      <c r="B496" s="17" t="s">
        <v>38</v>
      </c>
      <c r="C496" s="13">
        <v>359</v>
      </c>
      <c r="D496" s="5">
        <v>42031</v>
      </c>
      <c r="E496" s="15" t="s">
        <v>10</v>
      </c>
      <c r="F496" s="4" t="s">
        <v>9</v>
      </c>
      <c r="G496" s="20">
        <v>1.01</v>
      </c>
      <c r="H496" s="20">
        <v>0.08</v>
      </c>
      <c r="I496" s="20">
        <v>0.17473000000000002</v>
      </c>
      <c r="J496" s="20">
        <v>0.27168999999999999</v>
      </c>
    </row>
    <row r="497" spans="1:10" x14ac:dyDescent="0.25">
      <c r="A497" s="17" t="s">
        <v>37</v>
      </c>
      <c r="B497" s="17" t="s">
        <v>38</v>
      </c>
      <c r="C497" s="13">
        <v>360</v>
      </c>
      <c r="D497" s="5">
        <v>42031</v>
      </c>
      <c r="E497" s="15" t="s">
        <v>10</v>
      </c>
      <c r="F497" s="4" t="s">
        <v>8</v>
      </c>
      <c r="G497" s="20">
        <v>3.64</v>
      </c>
      <c r="H497" s="20">
        <v>0.62</v>
      </c>
      <c r="I497" s="20">
        <v>1.4196000000000002</v>
      </c>
      <c r="J497" s="20">
        <v>0.6406400000000001</v>
      </c>
    </row>
    <row r="498" spans="1:10" x14ac:dyDescent="0.25">
      <c r="A498" s="17" t="s">
        <v>37</v>
      </c>
      <c r="B498" s="17" t="s">
        <v>38</v>
      </c>
      <c r="C498" s="13">
        <v>361</v>
      </c>
      <c r="D498" s="5">
        <v>42031</v>
      </c>
      <c r="E498" s="15" t="s">
        <v>10</v>
      </c>
      <c r="F498" s="4" t="s">
        <v>8</v>
      </c>
      <c r="G498" s="20">
        <v>3.91</v>
      </c>
      <c r="H498" s="20">
        <v>0.24</v>
      </c>
      <c r="I498" s="20">
        <v>1.4936200000000002</v>
      </c>
      <c r="J498" s="20">
        <v>1.02051</v>
      </c>
    </row>
    <row r="499" spans="1:10" x14ac:dyDescent="0.25">
      <c r="A499" s="17" t="s">
        <v>37</v>
      </c>
      <c r="B499" s="17" t="s">
        <v>38</v>
      </c>
      <c r="C499" s="13">
        <v>362</v>
      </c>
      <c r="D499" s="5">
        <v>42031</v>
      </c>
      <c r="E499" s="15" t="s">
        <v>10</v>
      </c>
      <c r="F499" s="4" t="s">
        <v>8</v>
      </c>
      <c r="G499" s="20">
        <v>2.81</v>
      </c>
      <c r="H499" s="20">
        <v>0.25</v>
      </c>
      <c r="I499" s="20">
        <v>1.2476400000000001</v>
      </c>
      <c r="J499" s="20">
        <v>0.45241000000000003</v>
      </c>
    </row>
    <row r="500" spans="1:10" x14ac:dyDescent="0.25">
      <c r="A500" s="3" t="s">
        <v>37</v>
      </c>
      <c r="B500" s="3" t="s">
        <v>38</v>
      </c>
      <c r="C500" s="4">
        <v>391</v>
      </c>
      <c r="D500" s="5">
        <v>41976</v>
      </c>
      <c r="E500" s="8" t="s">
        <v>7</v>
      </c>
      <c r="F500" s="4" t="s">
        <v>8</v>
      </c>
      <c r="G500" s="20">
        <v>3.6</v>
      </c>
      <c r="H500" s="20">
        <v>0.72</v>
      </c>
      <c r="I500" s="20">
        <v>1.548</v>
      </c>
      <c r="J500" s="20">
        <v>0.60119999999999996</v>
      </c>
    </row>
    <row r="501" spans="1:10" x14ac:dyDescent="0.25">
      <c r="A501" s="3" t="s">
        <v>37</v>
      </c>
      <c r="B501" s="3" t="s">
        <v>38</v>
      </c>
      <c r="C501" s="4">
        <v>392</v>
      </c>
      <c r="D501" s="5">
        <v>41976</v>
      </c>
      <c r="E501" s="8" t="s">
        <v>7</v>
      </c>
      <c r="F501" s="4" t="s">
        <v>8</v>
      </c>
      <c r="G501" s="20">
        <v>3.86</v>
      </c>
      <c r="H501" s="20">
        <v>0.37</v>
      </c>
      <c r="I501" s="20">
        <v>1.6327799999999999</v>
      </c>
      <c r="J501" s="20">
        <v>0.52495999999999998</v>
      </c>
    </row>
    <row r="502" spans="1:10" x14ac:dyDescent="0.25">
      <c r="A502" s="3" t="s">
        <v>37</v>
      </c>
      <c r="B502" s="3" t="s">
        <v>38</v>
      </c>
      <c r="C502" s="4">
        <v>414</v>
      </c>
      <c r="D502" s="13"/>
      <c r="E502" s="3" t="s">
        <v>10</v>
      </c>
      <c r="F502" s="4" t="s">
        <v>8</v>
      </c>
      <c r="G502" s="20">
        <v>2.34</v>
      </c>
      <c r="H502" s="20">
        <v>0.09</v>
      </c>
      <c r="I502" s="20">
        <v>0.85409999999999997</v>
      </c>
      <c r="J502" s="20">
        <v>0.47267999999999993</v>
      </c>
    </row>
    <row r="503" spans="1:10" x14ac:dyDescent="0.25">
      <c r="A503" s="3" t="s">
        <v>37</v>
      </c>
      <c r="B503" s="3" t="s">
        <v>38</v>
      </c>
      <c r="C503" s="4">
        <v>415</v>
      </c>
      <c r="D503" s="13"/>
      <c r="E503" s="3" t="s">
        <v>10</v>
      </c>
      <c r="F503" s="4" t="s">
        <v>9</v>
      </c>
      <c r="G503" s="20">
        <v>0.82</v>
      </c>
      <c r="H503" s="20">
        <v>0.19</v>
      </c>
      <c r="I503" s="20">
        <v>0.10578</v>
      </c>
      <c r="J503" s="20">
        <v>0.15579999999999999</v>
      </c>
    </row>
    <row r="504" spans="1:10" x14ac:dyDescent="0.25">
      <c r="A504" s="3" t="s">
        <v>37</v>
      </c>
      <c r="B504" s="3" t="s">
        <v>38</v>
      </c>
      <c r="C504" s="4">
        <v>416</v>
      </c>
      <c r="D504" s="13"/>
      <c r="E504" s="3" t="s">
        <v>10</v>
      </c>
      <c r="F504" s="4" t="s">
        <v>9</v>
      </c>
      <c r="G504" s="20">
        <v>1.61</v>
      </c>
      <c r="H504" s="20">
        <v>0.26</v>
      </c>
      <c r="I504" s="20">
        <v>0.25276999999999999</v>
      </c>
      <c r="J504" s="20">
        <v>0.35258999999999996</v>
      </c>
    </row>
    <row r="505" spans="1:10" x14ac:dyDescent="0.25">
      <c r="A505" s="3" t="s">
        <v>37</v>
      </c>
      <c r="B505" s="3" t="s">
        <v>38</v>
      </c>
      <c r="C505" s="4">
        <v>434</v>
      </c>
      <c r="D505" s="13"/>
      <c r="E505" s="3" t="s">
        <v>7</v>
      </c>
      <c r="F505" s="4" t="s">
        <v>8</v>
      </c>
      <c r="G505" s="20">
        <v>3.75</v>
      </c>
      <c r="H505" s="20">
        <v>0.48</v>
      </c>
      <c r="I505" s="20">
        <v>1.425</v>
      </c>
      <c r="J505" s="20">
        <v>0.66374999999999995</v>
      </c>
    </row>
    <row r="506" spans="1:10" x14ac:dyDescent="0.25">
      <c r="A506" s="3" t="s">
        <v>37</v>
      </c>
      <c r="B506" s="3" t="s">
        <v>38</v>
      </c>
      <c r="C506" s="4">
        <v>435</v>
      </c>
      <c r="D506" s="13"/>
      <c r="E506" s="3" t="s">
        <v>7</v>
      </c>
      <c r="F506" s="4" t="s">
        <v>9</v>
      </c>
      <c r="G506" s="20">
        <v>2.33</v>
      </c>
      <c r="H506" s="20">
        <v>0.56999999999999995</v>
      </c>
      <c r="I506" s="20">
        <v>0.38445000000000001</v>
      </c>
      <c r="J506" s="20">
        <v>0.41707</v>
      </c>
    </row>
    <row r="507" spans="1:10" x14ac:dyDescent="0.25">
      <c r="A507" s="3" t="s">
        <v>37</v>
      </c>
      <c r="B507" s="3" t="s">
        <v>38</v>
      </c>
      <c r="C507" s="4">
        <v>436</v>
      </c>
      <c r="D507" s="13"/>
      <c r="E507" s="3" t="s">
        <v>7</v>
      </c>
      <c r="F507" s="4" t="s">
        <v>9</v>
      </c>
      <c r="G507" s="20">
        <v>2.2400000000000002</v>
      </c>
      <c r="H507" s="20">
        <v>0.39</v>
      </c>
      <c r="I507" s="20">
        <v>0.44800000000000006</v>
      </c>
      <c r="J507" s="20">
        <v>0.44800000000000006</v>
      </c>
    </row>
    <row r="508" spans="1:10" x14ac:dyDescent="0.25">
      <c r="A508" s="3" t="s">
        <v>37</v>
      </c>
      <c r="B508" s="3" t="s">
        <v>38</v>
      </c>
      <c r="C508" s="4">
        <v>437</v>
      </c>
      <c r="D508" s="13"/>
      <c r="E508" s="3" t="s">
        <v>7</v>
      </c>
      <c r="F508" s="4" t="s">
        <v>9</v>
      </c>
      <c r="G508" s="20">
        <v>1.33</v>
      </c>
      <c r="H508" s="20">
        <v>0.23</v>
      </c>
      <c r="I508" s="20">
        <v>0.17955000000000002</v>
      </c>
      <c r="J508" s="20">
        <v>0.129941</v>
      </c>
    </row>
    <row r="509" spans="1:10" x14ac:dyDescent="0.25">
      <c r="A509" s="3" t="s">
        <v>37</v>
      </c>
      <c r="B509" s="3" t="s">
        <v>38</v>
      </c>
      <c r="C509" s="4">
        <v>458</v>
      </c>
      <c r="D509" s="5">
        <v>42066</v>
      </c>
      <c r="E509" s="3" t="s">
        <v>7</v>
      </c>
      <c r="F509" s="4" t="s">
        <v>8</v>
      </c>
      <c r="G509" s="20">
        <v>5.08</v>
      </c>
      <c r="H509" s="20">
        <v>0.53</v>
      </c>
      <c r="I509" s="20">
        <v>2.0218399999999996</v>
      </c>
      <c r="J509" s="20">
        <v>1.0312400000000002</v>
      </c>
    </row>
    <row r="510" spans="1:10" x14ac:dyDescent="0.25">
      <c r="A510" s="3" t="s">
        <v>37</v>
      </c>
      <c r="B510" s="3" t="s">
        <v>38</v>
      </c>
      <c r="C510" s="4">
        <v>459</v>
      </c>
      <c r="D510" s="5">
        <v>42066</v>
      </c>
      <c r="E510" s="3" t="s">
        <v>7</v>
      </c>
      <c r="F510" s="4" t="s">
        <v>8</v>
      </c>
      <c r="G510" s="20">
        <v>4.38</v>
      </c>
      <c r="H510" s="20">
        <v>0.35</v>
      </c>
      <c r="I510" s="20">
        <v>2.1461999999999999</v>
      </c>
      <c r="J510" s="20">
        <v>0.69642000000000004</v>
      </c>
    </row>
    <row r="511" spans="1:10" x14ac:dyDescent="0.25">
      <c r="A511" s="3" t="s">
        <v>37</v>
      </c>
      <c r="B511" s="3" t="s">
        <v>38</v>
      </c>
      <c r="C511" s="4">
        <v>460</v>
      </c>
      <c r="D511" s="5">
        <v>42066</v>
      </c>
      <c r="E511" s="3" t="s">
        <v>7</v>
      </c>
      <c r="F511" s="4" t="s">
        <v>8</v>
      </c>
      <c r="G511" s="20">
        <v>5.15</v>
      </c>
      <c r="H511" s="20">
        <v>0.84</v>
      </c>
      <c r="I511" s="20">
        <v>1.7819000000000003</v>
      </c>
      <c r="J511" s="20">
        <v>0.82915000000000005</v>
      </c>
    </row>
    <row r="512" spans="1:10" x14ac:dyDescent="0.25">
      <c r="A512" s="3" t="s">
        <v>37</v>
      </c>
      <c r="B512" s="3" t="s">
        <v>38</v>
      </c>
      <c r="C512" s="4">
        <v>461</v>
      </c>
      <c r="D512" s="5">
        <v>42066</v>
      </c>
      <c r="E512" s="3" t="s">
        <v>7</v>
      </c>
      <c r="F512" s="4" t="s">
        <v>11</v>
      </c>
      <c r="G512" s="20">
        <v>4.03</v>
      </c>
      <c r="H512" s="20">
        <v>0.34</v>
      </c>
      <c r="I512" s="20">
        <v>1.5797600000000001</v>
      </c>
      <c r="J512" s="20">
        <v>0.74958000000000014</v>
      </c>
    </row>
    <row r="513" spans="1:10" x14ac:dyDescent="0.25">
      <c r="A513" s="3" t="s">
        <v>37</v>
      </c>
      <c r="B513" s="3" t="s">
        <v>38</v>
      </c>
      <c r="C513" s="4">
        <v>462</v>
      </c>
      <c r="D513" s="5">
        <v>42066</v>
      </c>
      <c r="E513" s="3" t="s">
        <v>7</v>
      </c>
      <c r="F513" s="4" t="s">
        <v>11</v>
      </c>
      <c r="G513" s="20">
        <v>3.43</v>
      </c>
      <c r="H513" s="20">
        <v>0.16</v>
      </c>
      <c r="I513" s="20">
        <v>1.2519500000000001</v>
      </c>
      <c r="J513" s="20">
        <v>0.42875000000000002</v>
      </c>
    </row>
    <row r="514" spans="1:10" x14ac:dyDescent="0.25">
      <c r="A514" s="3" t="s">
        <v>37</v>
      </c>
      <c r="B514" s="3" t="s">
        <v>38</v>
      </c>
      <c r="C514" s="4">
        <v>464</v>
      </c>
      <c r="D514" s="5">
        <v>42066</v>
      </c>
      <c r="E514" s="3" t="s">
        <v>7</v>
      </c>
      <c r="F514" s="4" t="s">
        <v>9</v>
      </c>
      <c r="G514" s="20">
        <v>1.48</v>
      </c>
      <c r="H514" s="20">
        <v>0.15</v>
      </c>
      <c r="I514" s="20">
        <v>0.22644</v>
      </c>
      <c r="J514" s="20">
        <v>0.33004</v>
      </c>
    </row>
    <row r="515" spans="1:10" x14ac:dyDescent="0.25">
      <c r="A515" s="3" t="s">
        <v>37</v>
      </c>
      <c r="B515" s="3" t="s">
        <v>38</v>
      </c>
      <c r="C515" s="4">
        <v>465</v>
      </c>
      <c r="D515" s="5">
        <v>42066</v>
      </c>
      <c r="E515" s="3" t="s">
        <v>7</v>
      </c>
      <c r="F515" s="4" t="s">
        <v>11</v>
      </c>
      <c r="G515" s="20">
        <v>3.7</v>
      </c>
      <c r="H515" s="20">
        <v>0.43</v>
      </c>
      <c r="I515" s="20">
        <v>1.7316</v>
      </c>
      <c r="J515" s="20">
        <v>0.42180000000000001</v>
      </c>
    </row>
    <row r="516" spans="1:10" x14ac:dyDescent="0.25">
      <c r="A516" s="3" t="s">
        <v>37</v>
      </c>
      <c r="B516" s="3" t="s">
        <v>38</v>
      </c>
      <c r="C516" s="4">
        <v>466</v>
      </c>
      <c r="D516" s="5">
        <v>42066</v>
      </c>
      <c r="E516" s="3" t="s">
        <v>7</v>
      </c>
      <c r="F516" s="4" t="s">
        <v>11</v>
      </c>
      <c r="G516" s="20">
        <v>5.08</v>
      </c>
      <c r="H516" s="20">
        <v>0.72</v>
      </c>
      <c r="I516" s="20">
        <v>1.8897600000000003</v>
      </c>
      <c r="J516" s="20">
        <v>0.81280000000000008</v>
      </c>
    </row>
    <row r="517" spans="1:10" x14ac:dyDescent="0.25">
      <c r="A517" s="3" t="s">
        <v>37</v>
      </c>
      <c r="B517" s="3" t="s">
        <v>38</v>
      </c>
      <c r="C517" s="4">
        <v>467</v>
      </c>
      <c r="D517" s="5">
        <v>42066</v>
      </c>
      <c r="E517" s="3" t="s">
        <v>7</v>
      </c>
      <c r="F517" s="4" t="s">
        <v>11</v>
      </c>
      <c r="G517" s="20">
        <v>4.2300000000000004</v>
      </c>
      <c r="H517" s="20">
        <v>0.2</v>
      </c>
      <c r="I517" s="20">
        <v>1.9119600000000003</v>
      </c>
      <c r="J517" s="20">
        <v>0.60065999999999997</v>
      </c>
    </row>
    <row r="518" spans="1:10" x14ac:dyDescent="0.25">
      <c r="A518" s="3" t="s">
        <v>37</v>
      </c>
      <c r="B518" s="3" t="s">
        <v>38</v>
      </c>
      <c r="C518" s="4">
        <v>468</v>
      </c>
      <c r="D518" s="5">
        <v>42066</v>
      </c>
      <c r="E518" s="3" t="s">
        <v>7</v>
      </c>
      <c r="F518" s="4" t="s">
        <v>9</v>
      </c>
      <c r="G518" s="20">
        <v>1.01</v>
      </c>
      <c r="H518" s="20">
        <v>0.11</v>
      </c>
      <c r="I518" s="20">
        <v>0.16563999999999998</v>
      </c>
      <c r="J518" s="20">
        <v>0.20200000000000001</v>
      </c>
    </row>
    <row r="519" spans="1:10" x14ac:dyDescent="0.25">
      <c r="A519" s="3" t="s">
        <v>37</v>
      </c>
      <c r="B519" s="3" t="s">
        <v>38</v>
      </c>
      <c r="C519" s="4">
        <v>469</v>
      </c>
      <c r="D519" s="5">
        <v>42066</v>
      </c>
      <c r="E519" s="3" t="s">
        <v>7</v>
      </c>
      <c r="F519" s="4" t="s">
        <v>9</v>
      </c>
      <c r="G519" s="20">
        <v>0.98</v>
      </c>
      <c r="H519" s="20">
        <v>0.13</v>
      </c>
      <c r="I519" s="20">
        <v>9.1433999999999988E-2</v>
      </c>
      <c r="J519" s="20">
        <v>0.23128000000000001</v>
      </c>
    </row>
    <row r="520" spans="1:10" x14ac:dyDescent="0.25">
      <c r="A520" s="3" t="s">
        <v>37</v>
      </c>
      <c r="B520" s="3" t="s">
        <v>38</v>
      </c>
      <c r="C520" s="4">
        <v>470</v>
      </c>
      <c r="D520" s="5">
        <v>42066</v>
      </c>
      <c r="E520" s="3" t="s">
        <v>7</v>
      </c>
      <c r="F520" s="4" t="s">
        <v>9</v>
      </c>
      <c r="G520" s="20">
        <v>1.24</v>
      </c>
      <c r="H520" s="20">
        <v>0.13</v>
      </c>
      <c r="I520" s="20">
        <v>0.14507999999999999</v>
      </c>
      <c r="J520" s="20">
        <v>0.23064000000000004</v>
      </c>
    </row>
    <row r="521" spans="1:10" x14ac:dyDescent="0.25">
      <c r="A521" s="3" t="s">
        <v>37</v>
      </c>
      <c r="B521" s="3" t="s">
        <v>38</v>
      </c>
      <c r="C521" s="4">
        <v>471</v>
      </c>
      <c r="D521" s="5">
        <v>42066</v>
      </c>
      <c r="E521" s="3" t="s">
        <v>7</v>
      </c>
      <c r="F521" s="4" t="s">
        <v>9</v>
      </c>
      <c r="G521" s="20">
        <v>1.08</v>
      </c>
      <c r="H521" s="20">
        <v>0.13</v>
      </c>
      <c r="I521" s="20">
        <v>0.23651999999999998</v>
      </c>
      <c r="J521" s="20">
        <v>0.18360000000000001</v>
      </c>
    </row>
    <row r="522" spans="1:10" x14ac:dyDescent="0.25">
      <c r="A522" s="3" t="s">
        <v>37</v>
      </c>
      <c r="B522" s="3" t="s">
        <v>38</v>
      </c>
      <c r="C522" s="4">
        <v>473</v>
      </c>
      <c r="D522" s="5">
        <v>42069</v>
      </c>
      <c r="E522" s="3" t="s">
        <v>10</v>
      </c>
      <c r="F522" s="4" t="s">
        <v>8</v>
      </c>
      <c r="G522" s="20">
        <v>4.1399999999999997</v>
      </c>
      <c r="H522" s="20">
        <v>0.47</v>
      </c>
      <c r="I522" s="20">
        <v>2.0782799999999999</v>
      </c>
      <c r="J522" s="20">
        <v>0.66654000000000002</v>
      </c>
    </row>
    <row r="523" spans="1:10" x14ac:dyDescent="0.25">
      <c r="A523" s="3" t="s">
        <v>37</v>
      </c>
      <c r="B523" s="3" t="s">
        <v>38</v>
      </c>
      <c r="C523" s="4">
        <v>474</v>
      </c>
      <c r="D523" s="5">
        <v>42069</v>
      </c>
      <c r="E523" s="3" t="s">
        <v>10</v>
      </c>
      <c r="F523" s="4" t="s">
        <v>11</v>
      </c>
      <c r="G523" s="20">
        <v>3.77</v>
      </c>
      <c r="H523" s="20">
        <v>0.44</v>
      </c>
      <c r="I523" s="20">
        <v>1.3044200000000001</v>
      </c>
      <c r="J523" s="20">
        <v>0.87087000000000003</v>
      </c>
    </row>
    <row r="524" spans="1:10" x14ac:dyDescent="0.25">
      <c r="A524" s="3" t="s">
        <v>37</v>
      </c>
      <c r="B524" s="3" t="s">
        <v>38</v>
      </c>
      <c r="C524" s="4">
        <v>475</v>
      </c>
      <c r="D524" s="5">
        <v>42069</v>
      </c>
      <c r="E524" s="3" t="s">
        <v>10</v>
      </c>
      <c r="F524" s="4" t="s">
        <v>11</v>
      </c>
      <c r="G524" s="20">
        <v>2.79</v>
      </c>
      <c r="H524" s="20">
        <v>0.53</v>
      </c>
      <c r="I524" s="20">
        <v>1.1466900000000002</v>
      </c>
      <c r="J524" s="20">
        <v>0.47987999999999997</v>
      </c>
    </row>
    <row r="525" spans="1:10" x14ac:dyDescent="0.25">
      <c r="A525" s="3" t="s">
        <v>37</v>
      </c>
      <c r="B525" s="3" t="s">
        <v>38</v>
      </c>
      <c r="C525" s="4">
        <v>476</v>
      </c>
      <c r="D525" s="5">
        <v>42069</v>
      </c>
      <c r="E525" s="3" t="s">
        <v>10</v>
      </c>
      <c r="F525" s="4" t="s">
        <v>11</v>
      </c>
      <c r="G525" s="20">
        <v>3.56</v>
      </c>
      <c r="H525" s="20">
        <v>0.25</v>
      </c>
      <c r="I525" s="20">
        <v>1.3848400000000001</v>
      </c>
      <c r="J525" s="20">
        <v>0.70131999999999994</v>
      </c>
    </row>
    <row r="526" spans="1:10" x14ac:dyDescent="0.25">
      <c r="A526" s="3" t="s">
        <v>37</v>
      </c>
      <c r="B526" s="3" t="s">
        <v>38</v>
      </c>
      <c r="C526" s="4">
        <v>477</v>
      </c>
      <c r="D526" s="5">
        <v>42069</v>
      </c>
      <c r="E526" s="3" t="s">
        <v>10</v>
      </c>
      <c r="F526" s="4" t="s">
        <v>11</v>
      </c>
      <c r="G526" s="20">
        <v>3.94</v>
      </c>
      <c r="H526" s="20">
        <v>0.26</v>
      </c>
      <c r="I526" s="20">
        <v>1.7533000000000001</v>
      </c>
      <c r="J526" s="20">
        <v>0.74072000000000005</v>
      </c>
    </row>
    <row r="527" spans="1:10" x14ac:dyDescent="0.25">
      <c r="A527" s="3" t="s">
        <v>37</v>
      </c>
      <c r="B527" s="3" t="s">
        <v>38</v>
      </c>
      <c r="C527" s="4">
        <v>478</v>
      </c>
      <c r="D527" s="5">
        <v>42069</v>
      </c>
      <c r="E527" s="3" t="s">
        <v>10</v>
      </c>
      <c r="F527" s="4" t="s">
        <v>11</v>
      </c>
      <c r="G527" s="20">
        <v>1.87</v>
      </c>
      <c r="H527" s="20">
        <v>0.11</v>
      </c>
      <c r="I527" s="20">
        <v>0.54978000000000005</v>
      </c>
      <c r="J527" s="20">
        <v>0.42448999999999998</v>
      </c>
    </row>
    <row r="528" spans="1:10" x14ac:dyDescent="0.25">
      <c r="A528" s="3" t="s">
        <v>37</v>
      </c>
      <c r="B528" s="3" t="s">
        <v>38</v>
      </c>
      <c r="C528" s="4">
        <v>479</v>
      </c>
      <c r="D528" s="5">
        <v>42069</v>
      </c>
      <c r="E528" s="3" t="s">
        <v>10</v>
      </c>
      <c r="F528" s="4" t="s">
        <v>11</v>
      </c>
      <c r="G528" s="20">
        <v>2.2400000000000002</v>
      </c>
      <c r="H528" s="20">
        <v>0.16</v>
      </c>
      <c r="I528" s="20">
        <v>1.00352</v>
      </c>
      <c r="J528" s="20">
        <v>0.34048</v>
      </c>
    </row>
    <row r="529" spans="1:10" x14ac:dyDescent="0.25">
      <c r="A529" s="3" t="s">
        <v>37</v>
      </c>
      <c r="B529" s="3" t="s">
        <v>38</v>
      </c>
      <c r="C529" s="4">
        <v>480</v>
      </c>
      <c r="D529" s="5">
        <v>42069</v>
      </c>
      <c r="E529" s="3" t="s">
        <v>10</v>
      </c>
      <c r="F529" s="4" t="s">
        <v>9</v>
      </c>
      <c r="G529" s="20">
        <v>1.44</v>
      </c>
      <c r="H529" s="20">
        <v>0.08</v>
      </c>
      <c r="I529" s="20">
        <v>0.16703999999999999</v>
      </c>
      <c r="J529" s="20">
        <v>0.32112000000000002</v>
      </c>
    </row>
    <row r="530" spans="1:10" x14ac:dyDescent="0.25">
      <c r="A530" s="3" t="s">
        <v>37</v>
      </c>
      <c r="B530" s="3" t="s">
        <v>38</v>
      </c>
      <c r="C530" s="4">
        <v>497</v>
      </c>
      <c r="D530" s="5">
        <v>42076</v>
      </c>
      <c r="E530" s="3" t="s">
        <v>7</v>
      </c>
      <c r="F530" s="4" t="s">
        <v>8</v>
      </c>
      <c r="G530" s="20">
        <v>2.76</v>
      </c>
      <c r="H530" s="20">
        <v>0.25</v>
      </c>
      <c r="I530" s="20">
        <v>0.92735999999999996</v>
      </c>
      <c r="J530" s="20">
        <v>0.62375999999999998</v>
      </c>
    </row>
    <row r="531" spans="1:10" x14ac:dyDescent="0.25">
      <c r="A531" s="3" t="s">
        <v>37</v>
      </c>
      <c r="B531" s="3" t="s">
        <v>38</v>
      </c>
      <c r="C531" s="4">
        <v>498</v>
      </c>
      <c r="D531" s="5">
        <v>42076</v>
      </c>
      <c r="E531" s="3" t="s">
        <v>7</v>
      </c>
      <c r="F531" s="4" t="s">
        <v>9</v>
      </c>
      <c r="G531" s="20">
        <v>1.59</v>
      </c>
      <c r="H531" s="20">
        <v>0.48</v>
      </c>
      <c r="I531" s="20">
        <v>0.31640999999999997</v>
      </c>
      <c r="J531" s="20">
        <v>0.39750000000000002</v>
      </c>
    </row>
    <row r="532" spans="1:10" x14ac:dyDescent="0.25">
      <c r="A532" s="3" t="s">
        <v>37</v>
      </c>
      <c r="B532" s="3" t="s">
        <v>38</v>
      </c>
      <c r="C532" s="4">
        <v>499</v>
      </c>
      <c r="D532" s="5">
        <v>42076</v>
      </c>
      <c r="E532" s="3" t="s">
        <v>10</v>
      </c>
      <c r="F532" s="4" t="s">
        <v>8</v>
      </c>
      <c r="G532" s="20">
        <v>2.92</v>
      </c>
      <c r="H532" s="20">
        <v>0.86</v>
      </c>
      <c r="I532" s="20">
        <v>1.0716400000000001</v>
      </c>
      <c r="J532" s="20">
        <v>0.82052000000000003</v>
      </c>
    </row>
    <row r="533" spans="1:10" x14ac:dyDescent="0.25">
      <c r="A533" s="3" t="s">
        <v>37</v>
      </c>
      <c r="B533" s="3" t="s">
        <v>38</v>
      </c>
      <c r="C533" s="4">
        <v>500</v>
      </c>
      <c r="D533" s="5">
        <v>42076</v>
      </c>
      <c r="E533" s="3" t="s">
        <v>10</v>
      </c>
      <c r="F533" s="4" t="s">
        <v>9</v>
      </c>
      <c r="G533" s="20">
        <v>1.81</v>
      </c>
      <c r="H533" s="20">
        <v>1.77</v>
      </c>
      <c r="I533" s="20">
        <v>0.22081999999999999</v>
      </c>
      <c r="J533" s="20">
        <v>0.35838000000000003</v>
      </c>
    </row>
    <row r="534" spans="1:10" x14ac:dyDescent="0.25">
      <c r="A534" s="3" t="s">
        <v>37</v>
      </c>
      <c r="B534" s="3" t="s">
        <v>38</v>
      </c>
      <c r="C534" s="4">
        <v>509</v>
      </c>
      <c r="D534" s="5">
        <v>42163</v>
      </c>
      <c r="E534" s="3" t="s">
        <v>7</v>
      </c>
      <c r="F534" s="4" t="s">
        <v>8</v>
      </c>
      <c r="G534" s="20">
        <v>4.25</v>
      </c>
      <c r="H534" s="20">
        <v>2.4</v>
      </c>
      <c r="I534" s="20">
        <v>1.0667500000000001</v>
      </c>
      <c r="J534" s="20">
        <v>0.75224999999999997</v>
      </c>
    </row>
    <row r="535" spans="1:10" x14ac:dyDescent="0.25">
      <c r="A535" s="3" t="s">
        <v>37</v>
      </c>
      <c r="B535" s="3" t="s">
        <v>38</v>
      </c>
      <c r="C535" s="4">
        <v>510</v>
      </c>
      <c r="D535" s="5">
        <v>42163</v>
      </c>
      <c r="E535" s="3" t="s">
        <v>7</v>
      </c>
      <c r="F535" s="4" t="s">
        <v>11</v>
      </c>
      <c r="G535" s="20">
        <v>2.77</v>
      </c>
      <c r="H535" s="20">
        <v>1.83</v>
      </c>
      <c r="I535" s="20">
        <v>0.54292000000000007</v>
      </c>
      <c r="J535" s="20">
        <v>0.38780000000000003</v>
      </c>
    </row>
    <row r="536" spans="1:10" x14ac:dyDescent="0.25">
      <c r="A536" s="3" t="s">
        <v>37</v>
      </c>
      <c r="B536" s="3" t="s">
        <v>38</v>
      </c>
      <c r="C536" s="4">
        <v>511</v>
      </c>
      <c r="D536" s="5">
        <v>42163</v>
      </c>
      <c r="E536" s="3" t="s">
        <v>7</v>
      </c>
      <c r="F536" s="4" t="s">
        <v>11</v>
      </c>
      <c r="G536" s="20">
        <v>3.72</v>
      </c>
      <c r="H536" s="20">
        <v>1.61</v>
      </c>
      <c r="I536" s="20">
        <v>0.75888</v>
      </c>
      <c r="J536" s="20">
        <v>0.49848000000000003</v>
      </c>
    </row>
    <row r="537" spans="1:10" x14ac:dyDescent="0.25">
      <c r="A537" s="3" t="s">
        <v>37</v>
      </c>
      <c r="B537" s="3" t="s">
        <v>38</v>
      </c>
      <c r="C537" s="4">
        <v>512</v>
      </c>
      <c r="D537" s="5">
        <v>42163</v>
      </c>
      <c r="E537" s="3" t="s">
        <v>7</v>
      </c>
      <c r="F537" s="4" t="s">
        <v>11</v>
      </c>
      <c r="G537" s="20">
        <v>4.3099999999999996</v>
      </c>
      <c r="H537" s="20">
        <v>1.65</v>
      </c>
      <c r="I537" s="20">
        <v>1.0343999999999998</v>
      </c>
      <c r="J537" s="20">
        <v>0.71114999999999995</v>
      </c>
    </row>
    <row r="538" spans="1:10" x14ac:dyDescent="0.25">
      <c r="A538" s="3" t="s">
        <v>37</v>
      </c>
      <c r="B538" s="3" t="s">
        <v>38</v>
      </c>
      <c r="C538" s="4">
        <v>513</v>
      </c>
      <c r="D538" s="5">
        <v>42163</v>
      </c>
      <c r="E538" s="3" t="s">
        <v>10</v>
      </c>
      <c r="F538" s="4" t="s">
        <v>8</v>
      </c>
      <c r="G538" s="20">
        <v>3.24</v>
      </c>
      <c r="H538" s="20">
        <v>0.98</v>
      </c>
      <c r="I538" s="20">
        <v>1.1016000000000001</v>
      </c>
      <c r="J538" s="20">
        <v>0.67715999999999998</v>
      </c>
    </row>
    <row r="539" spans="1:10" x14ac:dyDescent="0.25">
      <c r="A539" s="3" t="s">
        <v>39</v>
      </c>
      <c r="B539" s="3" t="s">
        <v>40</v>
      </c>
      <c r="C539" s="4">
        <v>100</v>
      </c>
      <c r="D539" s="5">
        <v>42059</v>
      </c>
      <c r="E539" s="3" t="s">
        <v>7</v>
      </c>
      <c r="F539" s="4" t="s">
        <v>9</v>
      </c>
      <c r="G539" s="25">
        <v>0.91</v>
      </c>
      <c r="H539" s="25">
        <v>0.17</v>
      </c>
      <c r="I539" s="20">
        <v>5.8604000000000003E-2</v>
      </c>
      <c r="J539" s="20">
        <v>0.19201000000000001</v>
      </c>
    </row>
    <row r="540" spans="1:10" x14ac:dyDescent="0.25">
      <c r="A540" s="3" t="s">
        <v>39</v>
      </c>
      <c r="B540" s="3" t="s">
        <v>40</v>
      </c>
      <c r="C540" s="4">
        <v>117</v>
      </c>
      <c r="D540" s="18">
        <v>42097</v>
      </c>
      <c r="E540" s="3" t="s">
        <v>7</v>
      </c>
      <c r="F540" s="4" t="s">
        <v>8</v>
      </c>
      <c r="G540" s="20">
        <v>6.09</v>
      </c>
      <c r="H540" s="20">
        <v>0.2</v>
      </c>
      <c r="I540" s="20">
        <v>2.2289399999999997</v>
      </c>
      <c r="J540" s="20">
        <v>1.04139</v>
      </c>
    </row>
    <row r="541" spans="1:10" x14ac:dyDescent="0.25">
      <c r="A541" s="3" t="s">
        <v>39</v>
      </c>
      <c r="B541" s="3" t="s">
        <v>40</v>
      </c>
      <c r="C541" s="4">
        <v>118</v>
      </c>
      <c r="D541" s="18">
        <v>42097</v>
      </c>
      <c r="E541" s="3" t="s">
        <v>7</v>
      </c>
      <c r="F541" s="4" t="s">
        <v>8</v>
      </c>
      <c r="G541" s="20">
        <v>6.86</v>
      </c>
      <c r="H541" s="20">
        <v>0.95</v>
      </c>
      <c r="I541" s="20">
        <v>3.0664200000000004</v>
      </c>
      <c r="J541" s="20">
        <v>0.73402000000000001</v>
      </c>
    </row>
    <row r="542" spans="1:10" x14ac:dyDescent="0.25">
      <c r="A542" s="3" t="s">
        <v>39</v>
      </c>
      <c r="B542" s="3" t="s">
        <v>40</v>
      </c>
      <c r="C542" s="4">
        <v>119</v>
      </c>
      <c r="D542" s="18">
        <v>42097</v>
      </c>
      <c r="E542" s="3" t="s">
        <v>7</v>
      </c>
      <c r="F542" s="4" t="s">
        <v>9</v>
      </c>
      <c r="G542" s="20">
        <v>1.68</v>
      </c>
      <c r="H542" s="20">
        <v>0.39</v>
      </c>
      <c r="I542" s="20">
        <v>0.144312</v>
      </c>
      <c r="J542" s="20">
        <v>0.35279999999999995</v>
      </c>
    </row>
    <row r="543" spans="1:10" x14ac:dyDescent="0.25">
      <c r="A543" s="3" t="s">
        <v>39</v>
      </c>
      <c r="B543" s="3" t="s">
        <v>40</v>
      </c>
      <c r="C543" s="4">
        <v>120</v>
      </c>
      <c r="D543" s="18">
        <v>42097</v>
      </c>
      <c r="E543" s="3" t="s">
        <v>7</v>
      </c>
      <c r="F543" s="4" t="s">
        <v>9</v>
      </c>
      <c r="G543" s="20">
        <v>1.63</v>
      </c>
      <c r="H543" s="20">
        <v>0.2</v>
      </c>
      <c r="I543" s="20">
        <v>0.22820000000000001</v>
      </c>
      <c r="J543" s="20">
        <v>0.42706</v>
      </c>
    </row>
    <row r="544" spans="1:10" x14ac:dyDescent="0.25">
      <c r="A544" s="3" t="s">
        <v>39</v>
      </c>
      <c r="B544" s="3" t="s">
        <v>40</v>
      </c>
      <c r="C544" s="4">
        <v>255</v>
      </c>
      <c r="D544" s="5">
        <v>42136</v>
      </c>
      <c r="E544" s="3" t="s">
        <v>7</v>
      </c>
      <c r="F544" s="4" t="s">
        <v>8</v>
      </c>
      <c r="G544" s="20">
        <v>5.15</v>
      </c>
      <c r="H544" s="20">
        <v>0.66</v>
      </c>
      <c r="I544" s="20">
        <v>2.0703000000000005</v>
      </c>
      <c r="J544" s="20">
        <v>1.4471500000000002</v>
      </c>
    </row>
    <row r="545" spans="1:10" x14ac:dyDescent="0.25">
      <c r="A545" s="3" t="s">
        <v>39</v>
      </c>
      <c r="B545" s="3" t="s">
        <v>40</v>
      </c>
      <c r="C545" s="4">
        <v>256</v>
      </c>
      <c r="D545" s="5">
        <v>42136</v>
      </c>
      <c r="E545" s="3" t="s">
        <v>7</v>
      </c>
      <c r="F545" s="4" t="s">
        <v>9</v>
      </c>
      <c r="G545" s="20">
        <v>1.01</v>
      </c>
      <c r="H545" s="20">
        <v>0.49</v>
      </c>
      <c r="I545" s="20">
        <v>3.7471000000000004E-2</v>
      </c>
      <c r="J545" s="20">
        <v>0.15554000000000001</v>
      </c>
    </row>
    <row r="546" spans="1:10" x14ac:dyDescent="0.25">
      <c r="A546" s="3" t="s">
        <v>39</v>
      </c>
      <c r="B546" s="3" t="s">
        <v>40</v>
      </c>
      <c r="C546" s="4">
        <v>257</v>
      </c>
      <c r="D546" s="5">
        <v>42136</v>
      </c>
      <c r="E546" s="3" t="s">
        <v>10</v>
      </c>
      <c r="F546" s="4" t="s">
        <v>8</v>
      </c>
      <c r="G546" s="20">
        <v>4.8099999999999996</v>
      </c>
      <c r="H546" s="20">
        <v>0.64</v>
      </c>
      <c r="I546" s="20">
        <v>1.4766699999999999</v>
      </c>
      <c r="J546" s="20">
        <v>1.62097</v>
      </c>
    </row>
    <row r="547" spans="1:10" x14ac:dyDescent="0.25">
      <c r="A547" s="3" t="s">
        <v>39</v>
      </c>
      <c r="B547" s="3" t="s">
        <v>40</v>
      </c>
      <c r="C547" s="4">
        <v>258</v>
      </c>
      <c r="D547" s="5">
        <v>42136</v>
      </c>
      <c r="E547" s="3" t="s">
        <v>10</v>
      </c>
      <c r="F547" s="4" t="s">
        <v>9</v>
      </c>
      <c r="G547" s="20">
        <v>1.2</v>
      </c>
      <c r="H547" s="20">
        <v>0.35</v>
      </c>
      <c r="I547" s="20">
        <v>6.1800000000000001E-2</v>
      </c>
      <c r="J547" s="20">
        <v>0.4032</v>
      </c>
    </row>
    <row r="548" spans="1:10" x14ac:dyDescent="0.25">
      <c r="A548" s="3" t="s">
        <v>39</v>
      </c>
      <c r="B548" s="3" t="s">
        <v>40</v>
      </c>
      <c r="C548" s="4">
        <v>389</v>
      </c>
      <c r="D548" s="5">
        <v>42160</v>
      </c>
      <c r="E548" s="3" t="s">
        <v>7</v>
      </c>
      <c r="F548" s="4" t="s">
        <v>8</v>
      </c>
      <c r="G548" s="20">
        <v>5.71</v>
      </c>
      <c r="H548" s="20">
        <v>0.82</v>
      </c>
      <c r="I548" s="20">
        <v>2.4552999999999998</v>
      </c>
      <c r="J548" s="20">
        <v>1.0049600000000001</v>
      </c>
    </row>
    <row r="549" spans="1:10" x14ac:dyDescent="0.25">
      <c r="A549" s="3" t="s">
        <v>39</v>
      </c>
      <c r="B549" s="3" t="s">
        <v>40</v>
      </c>
      <c r="C549" s="4">
        <v>390</v>
      </c>
      <c r="D549" s="5">
        <v>42160</v>
      </c>
      <c r="E549" s="3" t="s">
        <v>7</v>
      </c>
      <c r="F549" s="4" t="s">
        <v>11</v>
      </c>
      <c r="G549" s="20">
        <v>4.91</v>
      </c>
      <c r="H549" s="20">
        <v>0.4</v>
      </c>
      <c r="I549" s="20">
        <v>1.9345399999999999</v>
      </c>
      <c r="J549" s="20">
        <v>1.1783999999999999</v>
      </c>
    </row>
    <row r="550" spans="1:10" x14ac:dyDescent="0.25">
      <c r="A550" s="3" t="s">
        <v>39</v>
      </c>
      <c r="B550" s="3" t="s">
        <v>40</v>
      </c>
      <c r="C550" s="4">
        <v>391</v>
      </c>
      <c r="D550" s="5">
        <v>42160</v>
      </c>
      <c r="E550" s="3" t="s">
        <v>7</v>
      </c>
      <c r="F550" s="4" t="s">
        <v>11</v>
      </c>
      <c r="G550" s="20">
        <v>6.27</v>
      </c>
      <c r="H550" s="20">
        <v>0.65</v>
      </c>
      <c r="I550" s="20">
        <v>2.5581599999999995</v>
      </c>
      <c r="J550" s="20">
        <v>1.5110699999999999</v>
      </c>
    </row>
    <row r="551" spans="1:10" x14ac:dyDescent="0.25">
      <c r="A551" s="3" t="s">
        <v>39</v>
      </c>
      <c r="B551" s="3" t="s">
        <v>40</v>
      </c>
      <c r="C551" s="4">
        <v>392</v>
      </c>
      <c r="D551" s="5">
        <v>42160</v>
      </c>
      <c r="E551" s="3" t="s">
        <v>7</v>
      </c>
      <c r="F551" s="4" t="s">
        <v>11</v>
      </c>
      <c r="G551" s="20">
        <v>6.05</v>
      </c>
      <c r="H551" s="20">
        <v>0.59</v>
      </c>
      <c r="I551" s="20">
        <v>2.6317499999999998</v>
      </c>
      <c r="J551" s="20">
        <v>1.2463</v>
      </c>
    </row>
    <row r="552" spans="1:10" x14ac:dyDescent="0.25">
      <c r="A552" s="3" t="s">
        <v>39</v>
      </c>
      <c r="B552" s="3" t="s">
        <v>40</v>
      </c>
      <c r="C552" s="4">
        <v>393</v>
      </c>
      <c r="D552" s="5">
        <v>42160</v>
      </c>
      <c r="E552" s="3" t="s">
        <v>10</v>
      </c>
      <c r="F552" s="4" t="s">
        <v>8</v>
      </c>
      <c r="G552" s="20">
        <v>6.01</v>
      </c>
      <c r="H552" s="20">
        <v>0.48</v>
      </c>
      <c r="I552" s="20">
        <v>1.9772899999999998</v>
      </c>
      <c r="J552" s="20">
        <v>2.0013299999999998</v>
      </c>
    </row>
    <row r="553" spans="1:10" x14ac:dyDescent="0.25">
      <c r="A553" s="3" t="s">
        <v>39</v>
      </c>
      <c r="B553" s="3" t="s">
        <v>40</v>
      </c>
      <c r="C553" s="4">
        <v>394</v>
      </c>
      <c r="D553" s="5">
        <v>42160</v>
      </c>
      <c r="E553" s="3" t="s">
        <v>10</v>
      </c>
      <c r="F553" s="4" t="s">
        <v>9</v>
      </c>
      <c r="G553" s="20">
        <v>0.83</v>
      </c>
      <c r="H553" s="20">
        <v>0.09</v>
      </c>
      <c r="I553" s="20">
        <v>4.3907000000000002E-2</v>
      </c>
      <c r="J553" s="20">
        <v>0.31290999999999997</v>
      </c>
    </row>
    <row r="554" spans="1:10" x14ac:dyDescent="0.25">
      <c r="A554" s="3" t="s">
        <v>39</v>
      </c>
      <c r="B554" s="3" t="s">
        <v>40</v>
      </c>
      <c r="C554" s="4">
        <v>537</v>
      </c>
      <c r="D554" s="5">
        <v>42174</v>
      </c>
      <c r="E554" s="3" t="s">
        <v>7</v>
      </c>
      <c r="F554" s="4" t="s">
        <v>8</v>
      </c>
      <c r="G554" s="20">
        <v>6.26</v>
      </c>
      <c r="H554" s="20">
        <v>0.6</v>
      </c>
      <c r="I554" s="20">
        <v>2.7544</v>
      </c>
      <c r="J554" s="20">
        <v>1.4022399999999997</v>
      </c>
    </row>
    <row r="555" spans="1:10" x14ac:dyDescent="0.25">
      <c r="A555" s="3" t="s">
        <v>39</v>
      </c>
      <c r="B555" s="3" t="s">
        <v>40</v>
      </c>
      <c r="C555" s="4">
        <v>538</v>
      </c>
      <c r="D555" s="5">
        <v>42174</v>
      </c>
      <c r="E555" s="3" t="s">
        <v>7</v>
      </c>
      <c r="F555" s="4" t="s">
        <v>11</v>
      </c>
      <c r="G555" s="20">
        <v>4.3</v>
      </c>
      <c r="H555" s="20">
        <v>0.62</v>
      </c>
      <c r="I555" s="20">
        <v>1.7844999999999998</v>
      </c>
      <c r="J555" s="20">
        <v>0.98899999999999999</v>
      </c>
    </row>
    <row r="556" spans="1:10" x14ac:dyDescent="0.25">
      <c r="A556" s="3" t="s">
        <v>39</v>
      </c>
      <c r="B556" s="3" t="s">
        <v>40</v>
      </c>
      <c r="C556" s="4">
        <v>539</v>
      </c>
      <c r="D556" s="5">
        <v>42174</v>
      </c>
      <c r="E556" s="3" t="s">
        <v>7</v>
      </c>
      <c r="F556" s="4" t="s">
        <v>11</v>
      </c>
      <c r="G556" s="20">
        <v>5.69</v>
      </c>
      <c r="H556" s="20">
        <v>0.75</v>
      </c>
      <c r="I556" s="20">
        <v>2.1849600000000002</v>
      </c>
      <c r="J556" s="20">
        <v>1.5078500000000001</v>
      </c>
    </row>
    <row r="557" spans="1:10" x14ac:dyDescent="0.25">
      <c r="A557" s="3" t="s">
        <v>39</v>
      </c>
      <c r="B557" s="3" t="s">
        <v>40</v>
      </c>
      <c r="C557" s="4">
        <v>540</v>
      </c>
      <c r="D557" s="5">
        <v>42174</v>
      </c>
      <c r="E557" s="3" t="s">
        <v>7</v>
      </c>
      <c r="F557" s="4" t="s">
        <v>9</v>
      </c>
      <c r="G557" s="20">
        <v>1.73</v>
      </c>
      <c r="H557" s="20">
        <v>0.52</v>
      </c>
      <c r="I557" s="20">
        <v>0.104319</v>
      </c>
      <c r="J557" s="20">
        <v>0.54668000000000005</v>
      </c>
    </row>
    <row r="558" spans="1:10" x14ac:dyDescent="0.25">
      <c r="A558" s="3" t="s">
        <v>39</v>
      </c>
      <c r="B558" s="3" t="s">
        <v>40</v>
      </c>
      <c r="C558" s="4">
        <v>541</v>
      </c>
      <c r="D558" s="5">
        <v>42174</v>
      </c>
      <c r="E558" s="3" t="s">
        <v>10</v>
      </c>
      <c r="F558" s="4" t="s">
        <v>8</v>
      </c>
      <c r="G558" s="20">
        <v>3.02</v>
      </c>
      <c r="H558" s="20">
        <v>0.57999999999999996</v>
      </c>
      <c r="I558" s="20">
        <v>0.75802000000000003</v>
      </c>
      <c r="J558" s="20">
        <v>0.94223999999999997</v>
      </c>
    </row>
    <row r="559" spans="1:10" x14ac:dyDescent="0.25">
      <c r="A559" s="3" t="s">
        <v>39</v>
      </c>
      <c r="B559" s="3" t="s">
        <v>40</v>
      </c>
      <c r="C559" s="4">
        <v>542</v>
      </c>
      <c r="D559" s="5">
        <v>42174</v>
      </c>
      <c r="E559" s="3" t="s">
        <v>10</v>
      </c>
      <c r="F559" s="4" t="s">
        <v>9</v>
      </c>
      <c r="G559" s="20">
        <v>0.98</v>
      </c>
      <c r="H559" s="20">
        <v>0.22</v>
      </c>
      <c r="I559" s="20">
        <v>4.2042000000000003E-2</v>
      </c>
      <c r="J559" s="20">
        <v>0.38906000000000002</v>
      </c>
    </row>
    <row r="560" spans="1:10" x14ac:dyDescent="0.25">
      <c r="A560" s="3" t="s">
        <v>39</v>
      </c>
      <c r="B560" s="3" t="s">
        <v>40</v>
      </c>
      <c r="C560" s="4">
        <v>704</v>
      </c>
      <c r="D560" s="5">
        <v>42186</v>
      </c>
      <c r="E560" s="3" t="s">
        <v>7</v>
      </c>
      <c r="F560" s="4" t="s">
        <v>8</v>
      </c>
      <c r="G560" s="20">
        <v>7.11</v>
      </c>
      <c r="H560" s="20">
        <v>1.24</v>
      </c>
      <c r="I560" s="20">
        <v>2.6875799999999996</v>
      </c>
      <c r="J560" s="20">
        <v>1.76328</v>
      </c>
    </row>
    <row r="561" spans="1:10" x14ac:dyDescent="0.25">
      <c r="A561" s="3" t="s">
        <v>39</v>
      </c>
      <c r="B561" s="3" t="s">
        <v>40</v>
      </c>
      <c r="C561" s="4">
        <v>705</v>
      </c>
      <c r="D561" s="5">
        <v>42186</v>
      </c>
      <c r="E561" s="3" t="s">
        <v>7</v>
      </c>
      <c r="F561" s="4" t="s">
        <v>8</v>
      </c>
      <c r="G561" s="20">
        <v>6.5</v>
      </c>
      <c r="H561" s="20">
        <v>1.1299999999999999</v>
      </c>
      <c r="I561" s="20">
        <v>2.6715</v>
      </c>
      <c r="J561" s="20">
        <v>1.3779999999999999</v>
      </c>
    </row>
    <row r="562" spans="1:10" x14ac:dyDescent="0.25">
      <c r="A562" s="3" t="s">
        <v>39</v>
      </c>
      <c r="B562" s="3" t="s">
        <v>40</v>
      </c>
      <c r="C562" s="4">
        <v>706</v>
      </c>
      <c r="D562" s="5">
        <v>42186</v>
      </c>
      <c r="E562" s="3" t="s">
        <v>7</v>
      </c>
      <c r="F562" s="4" t="s">
        <v>11</v>
      </c>
      <c r="G562" s="20">
        <v>4.59</v>
      </c>
      <c r="H562" s="20">
        <v>0.92</v>
      </c>
      <c r="I562" s="20">
        <v>1.82223</v>
      </c>
      <c r="J562" s="20">
        <v>1.11537</v>
      </c>
    </row>
    <row r="563" spans="1:10" x14ac:dyDescent="0.25">
      <c r="A563" s="3" t="s">
        <v>39</v>
      </c>
      <c r="B563" s="3" t="s">
        <v>40</v>
      </c>
      <c r="C563" s="4">
        <v>707</v>
      </c>
      <c r="D563" s="5">
        <v>42186</v>
      </c>
      <c r="E563" s="3" t="s">
        <v>7</v>
      </c>
      <c r="F563" s="4" t="s">
        <v>11</v>
      </c>
      <c r="G563" s="20">
        <v>7.4</v>
      </c>
      <c r="H563" s="20">
        <v>1.1499999999999999</v>
      </c>
      <c r="I563" s="20">
        <v>2.9674000000000005</v>
      </c>
      <c r="J563" s="20">
        <v>1.8870000000000002</v>
      </c>
    </row>
    <row r="564" spans="1:10" x14ac:dyDescent="0.25">
      <c r="A564" s="3" t="s">
        <v>39</v>
      </c>
      <c r="B564" s="3" t="s">
        <v>40</v>
      </c>
      <c r="C564" s="4">
        <v>708</v>
      </c>
      <c r="D564" s="5">
        <v>42186</v>
      </c>
      <c r="E564" s="3" t="s">
        <v>7</v>
      </c>
      <c r="F564" s="4" t="s">
        <v>11</v>
      </c>
      <c r="G564" s="20">
        <v>4.8499999999999996</v>
      </c>
      <c r="H564" s="20">
        <v>0.73</v>
      </c>
      <c r="I564" s="20">
        <v>1.94485</v>
      </c>
      <c r="J564" s="20">
        <v>1.2658499999999999</v>
      </c>
    </row>
    <row r="565" spans="1:10" x14ac:dyDescent="0.25">
      <c r="A565" s="3" t="s">
        <v>39</v>
      </c>
      <c r="B565" s="3" t="s">
        <v>40</v>
      </c>
      <c r="C565" s="4">
        <v>709</v>
      </c>
      <c r="D565" s="5">
        <v>42186</v>
      </c>
      <c r="E565" s="3" t="s">
        <v>7</v>
      </c>
      <c r="F565" s="4" t="s">
        <v>9</v>
      </c>
      <c r="G565" s="20">
        <v>1.1499999999999999</v>
      </c>
      <c r="H565" s="20">
        <v>0.36</v>
      </c>
      <c r="I565" s="20">
        <v>8.9584999999999984E-2</v>
      </c>
      <c r="J565" s="20">
        <v>0.25989999999999996</v>
      </c>
    </row>
    <row r="566" spans="1:10" x14ac:dyDescent="0.25">
      <c r="A566" s="3" t="s">
        <v>39</v>
      </c>
      <c r="B566" s="3" t="s">
        <v>40</v>
      </c>
      <c r="C566" s="4">
        <v>710</v>
      </c>
      <c r="D566" s="5">
        <v>42186</v>
      </c>
      <c r="E566" s="3" t="s">
        <v>7</v>
      </c>
      <c r="F566" s="4" t="s">
        <v>9</v>
      </c>
      <c r="G566" s="20">
        <v>1.35</v>
      </c>
      <c r="H566" s="20">
        <v>0.4</v>
      </c>
      <c r="I566" s="20">
        <v>7.9380000000000006E-2</v>
      </c>
      <c r="J566" s="20">
        <v>0.35640000000000005</v>
      </c>
    </row>
    <row r="567" spans="1:10" x14ac:dyDescent="0.25">
      <c r="A567" s="3" t="s">
        <v>39</v>
      </c>
      <c r="B567" s="3" t="s">
        <v>40</v>
      </c>
      <c r="C567" s="4">
        <v>711</v>
      </c>
      <c r="D567" s="5">
        <v>42186</v>
      </c>
      <c r="E567" s="3" t="s">
        <v>10</v>
      </c>
      <c r="F567" s="4" t="s">
        <v>8</v>
      </c>
      <c r="G567" s="20">
        <v>3.53</v>
      </c>
      <c r="H567" s="20">
        <v>0.88</v>
      </c>
      <c r="I567" s="20">
        <v>0.88955999999999991</v>
      </c>
      <c r="J567" s="20">
        <v>1.1966699999999999</v>
      </c>
    </row>
    <row r="568" spans="1:10" x14ac:dyDescent="0.25">
      <c r="A568" s="3" t="s">
        <v>39</v>
      </c>
      <c r="B568" s="3" t="s">
        <v>40</v>
      </c>
      <c r="C568" s="4">
        <v>712</v>
      </c>
      <c r="D568" s="5">
        <v>42186</v>
      </c>
      <c r="E568" s="3" t="s">
        <v>10</v>
      </c>
      <c r="F568" s="4" t="s">
        <v>11</v>
      </c>
      <c r="G568" s="20">
        <v>3.84</v>
      </c>
      <c r="H568" s="20">
        <v>0.56999999999999995</v>
      </c>
      <c r="I568" s="20">
        <v>1.2672000000000001</v>
      </c>
      <c r="J568" s="20">
        <v>1.1519999999999999</v>
      </c>
    </row>
    <row r="569" spans="1:10" x14ac:dyDescent="0.25">
      <c r="A569" s="3" t="s">
        <v>39</v>
      </c>
      <c r="B569" s="3" t="s">
        <v>40</v>
      </c>
      <c r="C569" s="4">
        <v>713</v>
      </c>
      <c r="D569" s="5">
        <v>42186</v>
      </c>
      <c r="E569" s="3" t="s">
        <v>10</v>
      </c>
      <c r="F569" s="4" t="s">
        <v>11</v>
      </c>
      <c r="G569" s="20">
        <v>5.53</v>
      </c>
      <c r="H569" s="20">
        <v>0.95</v>
      </c>
      <c r="I569" s="20">
        <v>1.80278</v>
      </c>
      <c r="J569" s="20">
        <v>1.7143000000000002</v>
      </c>
    </row>
    <row r="570" spans="1:10" x14ac:dyDescent="0.25">
      <c r="A570" s="3" t="s">
        <v>39</v>
      </c>
      <c r="B570" s="3" t="s">
        <v>40</v>
      </c>
      <c r="C570" s="4">
        <v>714</v>
      </c>
      <c r="D570" s="5">
        <v>42186</v>
      </c>
      <c r="E570" s="3" t="s">
        <v>10</v>
      </c>
      <c r="F570" s="4" t="s">
        <v>11</v>
      </c>
      <c r="G570" s="20">
        <v>4.78</v>
      </c>
      <c r="H570" s="20">
        <v>0.83</v>
      </c>
      <c r="I570" s="20">
        <v>1.3049400000000002</v>
      </c>
      <c r="J570" s="20">
        <v>1.6777800000000003</v>
      </c>
    </row>
    <row r="571" spans="1:10" x14ac:dyDescent="0.25">
      <c r="A571" s="3" t="s">
        <v>39</v>
      </c>
      <c r="B571" s="3" t="s">
        <v>40</v>
      </c>
      <c r="C571" s="4">
        <v>715</v>
      </c>
      <c r="D571" s="5">
        <v>42186</v>
      </c>
      <c r="E571" s="3" t="s">
        <v>10</v>
      </c>
      <c r="F571" s="4" t="s">
        <v>11</v>
      </c>
      <c r="G571" s="20">
        <v>2.84</v>
      </c>
      <c r="H571" s="20">
        <v>0.51</v>
      </c>
      <c r="I571" s="20">
        <v>0.89176</v>
      </c>
      <c r="J571" s="20">
        <v>0.75544</v>
      </c>
    </row>
    <row r="572" spans="1:10" x14ac:dyDescent="0.25">
      <c r="A572" s="3" t="s">
        <v>39</v>
      </c>
      <c r="B572" s="3" t="s">
        <v>40</v>
      </c>
      <c r="C572" s="4">
        <v>716</v>
      </c>
      <c r="D572" s="5">
        <v>42186</v>
      </c>
      <c r="E572" s="3" t="s">
        <v>10</v>
      </c>
      <c r="F572" s="4" t="s">
        <v>11</v>
      </c>
      <c r="G572" s="20">
        <v>4.04</v>
      </c>
      <c r="H572" s="20">
        <v>0.83</v>
      </c>
      <c r="I572" s="20">
        <v>1.0786800000000001</v>
      </c>
      <c r="J572" s="20">
        <v>1.34128</v>
      </c>
    </row>
    <row r="573" spans="1:10" x14ac:dyDescent="0.25">
      <c r="A573" s="3" t="s">
        <v>39</v>
      </c>
      <c r="B573" s="3" t="s">
        <v>40</v>
      </c>
      <c r="C573" s="4">
        <v>717</v>
      </c>
      <c r="D573" s="5">
        <v>42186</v>
      </c>
      <c r="E573" s="3" t="s">
        <v>10</v>
      </c>
      <c r="F573" s="4" t="s">
        <v>9</v>
      </c>
      <c r="G573" s="20">
        <v>1.56</v>
      </c>
      <c r="H573" s="20">
        <v>0.33</v>
      </c>
      <c r="I573" s="20">
        <v>9.8435999999999982E-2</v>
      </c>
      <c r="J573" s="20">
        <v>0.58967999999999998</v>
      </c>
    </row>
    <row r="574" spans="1:10" x14ac:dyDescent="0.25">
      <c r="A574" s="3" t="s">
        <v>39</v>
      </c>
      <c r="B574" s="3" t="s">
        <v>40</v>
      </c>
      <c r="C574" s="4">
        <v>718</v>
      </c>
      <c r="D574" s="5">
        <v>42186</v>
      </c>
      <c r="E574" s="3" t="s">
        <v>10</v>
      </c>
      <c r="F574" s="4" t="s">
        <v>9</v>
      </c>
      <c r="G574" s="20">
        <v>1.61</v>
      </c>
      <c r="H574" s="20">
        <v>0.31</v>
      </c>
      <c r="I574" s="20">
        <v>3.1717000000000002E-2</v>
      </c>
      <c r="J574" s="20">
        <v>0.60697000000000001</v>
      </c>
    </row>
    <row r="575" spans="1:10" x14ac:dyDescent="0.25">
      <c r="A575" s="3" t="s">
        <v>39</v>
      </c>
      <c r="B575" s="3" t="s">
        <v>40</v>
      </c>
      <c r="C575" s="4">
        <v>737</v>
      </c>
      <c r="D575" s="5">
        <v>42044</v>
      </c>
      <c r="E575" s="3" t="s">
        <v>10</v>
      </c>
      <c r="F575" s="4" t="s">
        <v>8</v>
      </c>
      <c r="G575" s="20">
        <v>4.17</v>
      </c>
      <c r="H575" s="20">
        <v>0.28000000000000003</v>
      </c>
      <c r="I575" s="20">
        <v>1.5303900000000001</v>
      </c>
      <c r="J575" s="20">
        <v>1.1092200000000001</v>
      </c>
    </row>
    <row r="576" spans="1:10" x14ac:dyDescent="0.25">
      <c r="A576" s="3" t="s">
        <v>39</v>
      </c>
      <c r="B576" s="3" t="s">
        <v>40</v>
      </c>
      <c r="C576" s="4">
        <v>738</v>
      </c>
      <c r="D576" s="5">
        <v>42044</v>
      </c>
      <c r="E576" s="3" t="s">
        <v>7</v>
      </c>
      <c r="F576" s="4" t="s">
        <v>8</v>
      </c>
      <c r="G576" s="20">
        <v>6.64</v>
      </c>
      <c r="H576" s="20">
        <v>0.64</v>
      </c>
      <c r="I576" s="20">
        <v>2.6427199999999997</v>
      </c>
      <c r="J576" s="20">
        <v>1.0823199999999999</v>
      </c>
    </row>
    <row r="577" spans="1:10" x14ac:dyDescent="0.25">
      <c r="A577" s="3" t="s">
        <v>39</v>
      </c>
      <c r="B577" s="3" t="s">
        <v>40</v>
      </c>
      <c r="C577" s="4">
        <v>739</v>
      </c>
      <c r="D577" s="5">
        <v>42044</v>
      </c>
      <c r="E577" s="3" t="s">
        <v>7</v>
      </c>
      <c r="F577" s="4" t="s">
        <v>8</v>
      </c>
      <c r="G577" s="20">
        <v>4.62</v>
      </c>
      <c r="H577" s="20">
        <v>0.37</v>
      </c>
      <c r="I577" s="20">
        <v>2.0605199999999999</v>
      </c>
      <c r="J577" s="20">
        <v>0.77616000000000007</v>
      </c>
    </row>
    <row r="578" spans="1:10" x14ac:dyDescent="0.25">
      <c r="A578" s="3" t="s">
        <v>39</v>
      </c>
      <c r="B578" s="3" t="s">
        <v>40</v>
      </c>
      <c r="C578" s="4">
        <v>740</v>
      </c>
      <c r="D578" s="5">
        <v>42044</v>
      </c>
      <c r="E578" s="3" t="s">
        <v>7</v>
      </c>
      <c r="F578" s="4" t="s">
        <v>9</v>
      </c>
      <c r="G578" s="20">
        <v>1.1200000000000001</v>
      </c>
      <c r="H578" s="20">
        <v>0.18</v>
      </c>
      <c r="I578" s="20">
        <v>3.0128000000000002E-2</v>
      </c>
      <c r="J578" s="20">
        <v>0.17136000000000001</v>
      </c>
    </row>
    <row r="579" spans="1:10" x14ac:dyDescent="0.25">
      <c r="A579" s="3" t="s">
        <v>39</v>
      </c>
      <c r="B579" s="3" t="s">
        <v>40</v>
      </c>
      <c r="C579" s="4">
        <v>748</v>
      </c>
      <c r="D579" s="5">
        <v>42199</v>
      </c>
      <c r="E579" s="3" t="s">
        <v>10</v>
      </c>
      <c r="F579" s="4" t="s">
        <v>8</v>
      </c>
      <c r="G579" s="20">
        <v>6.27</v>
      </c>
      <c r="H579" s="20">
        <v>0.8</v>
      </c>
      <c r="I579" s="20">
        <v>2.0565599999999997</v>
      </c>
      <c r="J579" s="20">
        <v>1.4985299999999999</v>
      </c>
    </row>
    <row r="580" spans="1:10" x14ac:dyDescent="0.25">
      <c r="A580" s="3" t="s">
        <v>39</v>
      </c>
      <c r="B580" s="3" t="s">
        <v>40</v>
      </c>
      <c r="C580" s="4">
        <v>749</v>
      </c>
      <c r="D580" s="5">
        <v>42199</v>
      </c>
      <c r="E580" s="3" t="s">
        <v>10</v>
      </c>
      <c r="F580" s="4" t="s">
        <v>11</v>
      </c>
      <c r="G580" s="20">
        <v>4.76</v>
      </c>
      <c r="H580" s="20">
        <v>0.76</v>
      </c>
      <c r="I580" s="20">
        <v>1.6897999999999997</v>
      </c>
      <c r="J580" s="20">
        <v>1.2280800000000001</v>
      </c>
    </row>
    <row r="581" spans="1:10" x14ac:dyDescent="0.25">
      <c r="A581" s="3" t="s">
        <v>41</v>
      </c>
      <c r="B581" s="3" t="s">
        <v>42</v>
      </c>
      <c r="C581" s="4">
        <v>97</v>
      </c>
      <c r="D581" s="5">
        <v>42083</v>
      </c>
      <c r="E581" s="3" t="s">
        <v>10</v>
      </c>
      <c r="F581" s="4" t="s">
        <v>8</v>
      </c>
      <c r="G581" s="20">
        <v>5.87</v>
      </c>
      <c r="H581" s="20">
        <v>0.16</v>
      </c>
      <c r="I581" s="20">
        <v>1.77274</v>
      </c>
      <c r="J581" s="20">
        <v>2.8410799999999998</v>
      </c>
    </row>
    <row r="582" spans="1:10" x14ac:dyDescent="0.25">
      <c r="A582" s="3" t="s">
        <v>41</v>
      </c>
      <c r="B582" s="3" t="s">
        <v>42</v>
      </c>
      <c r="C582" s="4">
        <v>98</v>
      </c>
      <c r="D582" s="5">
        <v>42083</v>
      </c>
      <c r="E582" s="3" t="s">
        <v>10</v>
      </c>
      <c r="F582" s="4" t="s">
        <v>8</v>
      </c>
      <c r="G582" s="20">
        <v>5.28</v>
      </c>
      <c r="H582" s="20">
        <v>0.15</v>
      </c>
      <c r="I582" s="20">
        <v>1.3675200000000001</v>
      </c>
      <c r="J582" s="20">
        <v>2.3390399999999998</v>
      </c>
    </row>
    <row r="583" spans="1:10" x14ac:dyDescent="0.25">
      <c r="A583" s="3" t="s">
        <v>41</v>
      </c>
      <c r="B583" s="3" t="s">
        <v>42</v>
      </c>
      <c r="C583" s="4">
        <v>99</v>
      </c>
      <c r="D583" s="5">
        <v>42083</v>
      </c>
      <c r="E583" s="3" t="s">
        <v>10</v>
      </c>
      <c r="F583" s="4" t="s">
        <v>9</v>
      </c>
      <c r="G583" s="20">
        <v>2.99</v>
      </c>
      <c r="H583" s="20">
        <v>0.43</v>
      </c>
      <c r="I583" s="20">
        <v>0.54119000000000006</v>
      </c>
      <c r="J583" s="20">
        <v>1.0793900000000001</v>
      </c>
    </row>
    <row r="584" spans="1:10" x14ac:dyDescent="0.25">
      <c r="A584" s="3" t="s">
        <v>41</v>
      </c>
      <c r="B584" s="3" t="s">
        <v>42</v>
      </c>
      <c r="C584" s="4">
        <v>100</v>
      </c>
      <c r="D584" s="5">
        <v>42083</v>
      </c>
      <c r="E584" s="3" t="s">
        <v>10</v>
      </c>
      <c r="F584" s="4" t="s">
        <v>9</v>
      </c>
      <c r="G584" s="20">
        <v>3</v>
      </c>
      <c r="H584" s="20">
        <v>0.15</v>
      </c>
      <c r="I584" s="20">
        <v>0.81900000000000006</v>
      </c>
      <c r="J584" s="20">
        <v>1.218</v>
      </c>
    </row>
    <row r="585" spans="1:10" x14ac:dyDescent="0.25">
      <c r="A585" s="3" t="s">
        <v>41</v>
      </c>
      <c r="B585" s="3" t="s">
        <v>42</v>
      </c>
      <c r="C585" s="4">
        <v>130</v>
      </c>
      <c r="D585" s="5">
        <v>42228</v>
      </c>
      <c r="E585" s="3" t="s">
        <v>7</v>
      </c>
      <c r="F585" s="4" t="s">
        <v>8</v>
      </c>
      <c r="G585" s="20">
        <v>8.58</v>
      </c>
      <c r="H585" s="20">
        <v>0.33</v>
      </c>
      <c r="I585" s="20">
        <v>4.0411800000000007</v>
      </c>
      <c r="J585" s="20">
        <v>2.32518</v>
      </c>
    </row>
    <row r="586" spans="1:10" x14ac:dyDescent="0.25">
      <c r="A586" s="3" t="s">
        <v>41</v>
      </c>
      <c r="B586" s="3" t="s">
        <v>42</v>
      </c>
      <c r="C586" s="4">
        <v>140</v>
      </c>
      <c r="D586" s="5">
        <v>42228</v>
      </c>
      <c r="E586" s="3" t="s">
        <v>7</v>
      </c>
      <c r="F586" s="4" t="s">
        <v>11</v>
      </c>
      <c r="G586" s="20">
        <v>4.13</v>
      </c>
      <c r="H586" s="20">
        <v>0.15</v>
      </c>
      <c r="I586" s="20">
        <v>1.8832800000000001</v>
      </c>
      <c r="J586" s="20">
        <v>1.2720400000000001</v>
      </c>
    </row>
    <row r="587" spans="1:10" x14ac:dyDescent="0.25">
      <c r="A587" s="3" t="s">
        <v>41</v>
      </c>
      <c r="B587" s="3" t="s">
        <v>42</v>
      </c>
      <c r="C587" s="4">
        <v>149</v>
      </c>
      <c r="D587" s="5">
        <v>42101</v>
      </c>
      <c r="E587" s="3" t="s">
        <v>10</v>
      </c>
      <c r="F587" s="4" t="s">
        <v>8</v>
      </c>
      <c r="G587" s="20">
        <v>10.95</v>
      </c>
      <c r="H587" s="20">
        <v>0.56999999999999995</v>
      </c>
      <c r="I587" s="20">
        <v>3.7996500000000002</v>
      </c>
      <c r="J587" s="20">
        <v>4.6099500000000004</v>
      </c>
    </row>
    <row r="588" spans="1:10" x14ac:dyDescent="0.25">
      <c r="A588" s="3" t="s">
        <v>41</v>
      </c>
      <c r="B588" s="3" t="s">
        <v>42</v>
      </c>
      <c r="C588" s="4">
        <v>150</v>
      </c>
      <c r="D588" s="5">
        <v>42101</v>
      </c>
      <c r="E588" s="3" t="s">
        <v>10</v>
      </c>
      <c r="F588" s="4" t="s">
        <v>8</v>
      </c>
      <c r="G588" s="20">
        <v>7.31</v>
      </c>
      <c r="H588" s="20">
        <v>0.15</v>
      </c>
      <c r="I588" s="20">
        <v>2.6315999999999997</v>
      </c>
      <c r="J588" s="20">
        <v>3.00441</v>
      </c>
    </row>
    <row r="589" spans="1:10" x14ac:dyDescent="0.25">
      <c r="A589" s="3" t="s">
        <v>41</v>
      </c>
      <c r="B589" s="3" t="s">
        <v>42</v>
      </c>
      <c r="C589" s="4">
        <v>151</v>
      </c>
      <c r="D589" s="5">
        <v>42101</v>
      </c>
      <c r="E589" s="3" t="s">
        <v>7</v>
      </c>
      <c r="F589" s="4" t="s">
        <v>11</v>
      </c>
      <c r="G589" s="20">
        <v>5.38</v>
      </c>
      <c r="H589" s="20">
        <v>0.14000000000000001</v>
      </c>
      <c r="I589" s="20">
        <v>1.7969199999999999</v>
      </c>
      <c r="J589" s="20">
        <v>2.5070800000000002</v>
      </c>
    </row>
    <row r="590" spans="1:10" x14ac:dyDescent="0.25">
      <c r="A590" s="3" t="s">
        <v>41</v>
      </c>
      <c r="B590" s="3" t="s">
        <v>42</v>
      </c>
      <c r="C590" s="4">
        <v>281</v>
      </c>
      <c r="D590" s="5">
        <v>42151</v>
      </c>
      <c r="E590" s="3" t="s">
        <v>7</v>
      </c>
      <c r="F590" s="4" t="s">
        <v>8</v>
      </c>
      <c r="G590" s="20">
        <v>4.4000000000000004</v>
      </c>
      <c r="H590" s="20">
        <v>0.44</v>
      </c>
      <c r="I590" s="20">
        <v>1.6104000000000001</v>
      </c>
      <c r="J590" s="20">
        <v>1.6324000000000001</v>
      </c>
    </row>
    <row r="591" spans="1:10" x14ac:dyDescent="0.25">
      <c r="A591" s="3" t="s">
        <v>41</v>
      </c>
      <c r="B591" s="3" t="s">
        <v>42</v>
      </c>
      <c r="C591" s="4">
        <v>282</v>
      </c>
      <c r="D591" s="5">
        <v>42151</v>
      </c>
      <c r="E591" s="3" t="s">
        <v>7</v>
      </c>
      <c r="F591" s="4" t="s">
        <v>11</v>
      </c>
      <c r="G591" s="20">
        <v>6.35</v>
      </c>
      <c r="H591" s="20">
        <v>0.44</v>
      </c>
      <c r="I591" s="20">
        <v>2.7685999999999997</v>
      </c>
      <c r="J591" s="20">
        <v>2.0701000000000001</v>
      </c>
    </row>
    <row r="592" spans="1:10" x14ac:dyDescent="0.25">
      <c r="A592" s="3" t="s">
        <v>41</v>
      </c>
      <c r="B592" s="3" t="s">
        <v>42</v>
      </c>
      <c r="C592" s="4">
        <v>283</v>
      </c>
      <c r="D592" s="5">
        <v>42151</v>
      </c>
      <c r="E592" s="3" t="s">
        <v>7</v>
      </c>
      <c r="F592" s="4" t="s">
        <v>11</v>
      </c>
      <c r="G592" s="20">
        <v>4.83</v>
      </c>
      <c r="H592" s="20">
        <v>0.38</v>
      </c>
      <c r="I592" s="20">
        <v>2.0624100000000003</v>
      </c>
      <c r="J592" s="20">
        <v>1.70499</v>
      </c>
    </row>
    <row r="593" spans="1:10" x14ac:dyDescent="0.25">
      <c r="A593" s="3" t="s">
        <v>41</v>
      </c>
      <c r="B593" s="3" t="s">
        <v>42</v>
      </c>
      <c r="C593" s="4">
        <v>284</v>
      </c>
      <c r="D593" s="5">
        <v>42151</v>
      </c>
      <c r="E593" s="3" t="s">
        <v>10</v>
      </c>
      <c r="F593" s="4" t="s">
        <v>8</v>
      </c>
      <c r="G593" s="20">
        <v>5.32</v>
      </c>
      <c r="H593" s="20">
        <v>0.43</v>
      </c>
      <c r="I593" s="20">
        <v>1.9577600000000002</v>
      </c>
      <c r="J593" s="20">
        <v>2.2610000000000001</v>
      </c>
    </row>
    <row r="594" spans="1:10" x14ac:dyDescent="0.25">
      <c r="A594" s="3" t="s">
        <v>41</v>
      </c>
      <c r="B594" s="3" t="s">
        <v>42</v>
      </c>
      <c r="C594" s="4">
        <v>285</v>
      </c>
      <c r="D594" s="5">
        <v>42151</v>
      </c>
      <c r="E594" s="3" t="s">
        <v>10</v>
      </c>
      <c r="F594" s="4" t="s">
        <v>11</v>
      </c>
      <c r="G594" s="20">
        <v>6.4</v>
      </c>
      <c r="H594" s="20">
        <v>0.37</v>
      </c>
      <c r="I594" s="20">
        <v>1.8239999999999998</v>
      </c>
      <c r="J594" s="20">
        <v>3.0848000000000004</v>
      </c>
    </row>
    <row r="595" spans="1:10" x14ac:dyDescent="0.25">
      <c r="A595" s="3" t="s">
        <v>41</v>
      </c>
      <c r="B595" s="3" t="s">
        <v>42</v>
      </c>
      <c r="C595" s="4">
        <v>286</v>
      </c>
      <c r="D595" s="5">
        <v>42151</v>
      </c>
      <c r="E595" s="3" t="s">
        <v>10</v>
      </c>
      <c r="F595" s="4" t="s">
        <v>11</v>
      </c>
      <c r="G595" s="20">
        <v>6.92</v>
      </c>
      <c r="H595" s="20">
        <v>0.28000000000000003</v>
      </c>
      <c r="I595" s="20">
        <v>2.9202400000000002</v>
      </c>
      <c r="J595" s="20">
        <v>2.7403200000000001</v>
      </c>
    </row>
    <row r="596" spans="1:10" x14ac:dyDescent="0.25">
      <c r="A596" s="17" t="s">
        <v>41</v>
      </c>
      <c r="B596" s="17" t="s">
        <v>42</v>
      </c>
      <c r="C596" s="13">
        <v>352</v>
      </c>
      <c r="D596" s="5">
        <v>42031</v>
      </c>
      <c r="E596" s="16" t="s">
        <v>7</v>
      </c>
      <c r="F596" s="4" t="s">
        <v>8</v>
      </c>
      <c r="G596" s="20">
        <v>5.75</v>
      </c>
      <c r="H596" s="20">
        <v>0.2</v>
      </c>
      <c r="I596" s="20">
        <v>2.7657500000000002</v>
      </c>
      <c r="J596" s="20">
        <v>1.4087499999999999</v>
      </c>
    </row>
    <row r="597" spans="1:10" x14ac:dyDescent="0.25">
      <c r="A597" s="3" t="s">
        <v>41</v>
      </c>
      <c r="B597" s="3" t="s">
        <v>42</v>
      </c>
      <c r="C597" s="4">
        <v>388</v>
      </c>
      <c r="D597" s="5">
        <v>41976</v>
      </c>
      <c r="E597" s="8" t="s">
        <v>7</v>
      </c>
      <c r="F597" s="4" t="s">
        <v>8</v>
      </c>
      <c r="G597" s="20">
        <v>9.6199999999999992</v>
      </c>
      <c r="H597" s="20">
        <v>0.55000000000000004</v>
      </c>
      <c r="I597" s="20">
        <v>3.6844599999999992</v>
      </c>
      <c r="J597" s="20">
        <v>2.8475200000000003</v>
      </c>
    </row>
    <row r="598" spans="1:10" x14ac:dyDescent="0.25">
      <c r="A598" s="3" t="s">
        <v>41</v>
      </c>
      <c r="B598" s="3" t="s">
        <v>42</v>
      </c>
      <c r="C598" s="4">
        <v>389</v>
      </c>
      <c r="D598" s="5">
        <v>41976</v>
      </c>
      <c r="E598" s="8" t="s">
        <v>7</v>
      </c>
      <c r="F598" s="4" t="s">
        <v>8</v>
      </c>
      <c r="G598" s="20">
        <v>6.91</v>
      </c>
      <c r="H598" s="20">
        <v>0.46</v>
      </c>
      <c r="I598" s="20">
        <v>2.1351900000000001</v>
      </c>
      <c r="J598" s="20">
        <v>2.3148500000000003</v>
      </c>
    </row>
    <row r="599" spans="1:10" x14ac:dyDescent="0.25">
      <c r="A599" s="3" t="s">
        <v>41</v>
      </c>
      <c r="B599" s="3" t="s">
        <v>42</v>
      </c>
      <c r="C599" s="4">
        <v>390</v>
      </c>
      <c r="D599" s="5">
        <v>41976</v>
      </c>
      <c r="E599" s="8" t="s">
        <v>7</v>
      </c>
      <c r="F599" s="4" t="s">
        <v>8</v>
      </c>
      <c r="G599" s="20">
        <v>5.59</v>
      </c>
      <c r="H599" s="20">
        <v>0.33</v>
      </c>
      <c r="I599" s="20">
        <v>1.9620900000000001</v>
      </c>
      <c r="J599" s="20">
        <v>1.9061900000000001</v>
      </c>
    </row>
    <row r="600" spans="1:10" x14ac:dyDescent="0.25">
      <c r="A600" s="17" t="s">
        <v>41</v>
      </c>
      <c r="B600" s="17" t="s">
        <v>42</v>
      </c>
      <c r="C600" s="13">
        <v>396</v>
      </c>
      <c r="D600" s="5">
        <v>42031</v>
      </c>
      <c r="E600" s="15" t="s">
        <v>10</v>
      </c>
      <c r="F600" s="4" t="s">
        <v>8</v>
      </c>
      <c r="G600" s="25">
        <v>5.59</v>
      </c>
      <c r="H600" s="23">
        <v>0.13</v>
      </c>
      <c r="I600" s="20">
        <v>2.1856900000000001</v>
      </c>
      <c r="J600" s="20">
        <v>2.3422099999999997</v>
      </c>
    </row>
    <row r="601" spans="1:10" x14ac:dyDescent="0.25">
      <c r="A601" s="17" t="s">
        <v>41</v>
      </c>
      <c r="B601" s="17" t="s">
        <v>42</v>
      </c>
      <c r="C601" s="13">
        <v>397</v>
      </c>
      <c r="D601" s="5">
        <v>42031</v>
      </c>
      <c r="E601" s="15" t="s">
        <v>10</v>
      </c>
      <c r="F601" s="4" t="s">
        <v>8</v>
      </c>
      <c r="G601" s="25">
        <v>12.69</v>
      </c>
      <c r="H601" s="23">
        <v>0.42</v>
      </c>
      <c r="I601" s="20">
        <v>6.3957600000000001</v>
      </c>
      <c r="J601" s="20">
        <v>4.3399799999999997</v>
      </c>
    </row>
    <row r="602" spans="1:10" x14ac:dyDescent="0.25">
      <c r="A602" s="17" t="s">
        <v>41</v>
      </c>
      <c r="B602" s="17" t="s">
        <v>42</v>
      </c>
      <c r="C602" s="19">
        <v>398</v>
      </c>
      <c r="D602" s="5">
        <v>42032</v>
      </c>
      <c r="E602" s="15" t="s">
        <v>10</v>
      </c>
      <c r="F602" s="4" t="s">
        <v>9</v>
      </c>
      <c r="G602" s="20">
        <v>2.75</v>
      </c>
      <c r="H602" s="20">
        <v>0.05</v>
      </c>
      <c r="I602" s="20">
        <v>1.056</v>
      </c>
      <c r="J602" s="20">
        <v>1.0009999999999999</v>
      </c>
    </row>
    <row r="603" spans="1:10" x14ac:dyDescent="0.25">
      <c r="A603" s="17" t="s">
        <v>41</v>
      </c>
      <c r="B603" s="17" t="s">
        <v>42</v>
      </c>
      <c r="C603" s="19">
        <v>399</v>
      </c>
      <c r="D603" s="5">
        <v>42032</v>
      </c>
      <c r="E603" s="15" t="s">
        <v>10</v>
      </c>
      <c r="F603" s="4" t="s">
        <v>9</v>
      </c>
      <c r="G603" s="20">
        <v>3.52</v>
      </c>
      <c r="H603" s="20">
        <v>0.1</v>
      </c>
      <c r="I603" s="20">
        <v>1.49952</v>
      </c>
      <c r="J603" s="20">
        <v>1.1158399999999999</v>
      </c>
    </row>
    <row r="604" spans="1:10" x14ac:dyDescent="0.25">
      <c r="A604" s="17" t="s">
        <v>41</v>
      </c>
      <c r="B604" s="17" t="s">
        <v>42</v>
      </c>
      <c r="C604" s="13">
        <v>400</v>
      </c>
      <c r="D604" s="5">
        <v>42031</v>
      </c>
      <c r="E604" s="16" t="s">
        <v>7</v>
      </c>
      <c r="F604" s="4" t="s">
        <v>8</v>
      </c>
      <c r="G604" s="23">
        <v>8.5399999999999991</v>
      </c>
      <c r="H604" s="23">
        <v>0.32</v>
      </c>
      <c r="I604" s="20">
        <v>3.7575999999999996</v>
      </c>
      <c r="J604" s="20">
        <v>2.6900999999999997</v>
      </c>
    </row>
    <row r="605" spans="1:10" x14ac:dyDescent="0.25">
      <c r="A605" s="3" t="s">
        <v>41</v>
      </c>
      <c r="B605" s="3" t="s">
        <v>42</v>
      </c>
      <c r="C605" s="4">
        <v>446</v>
      </c>
      <c r="D605" s="5">
        <v>42062</v>
      </c>
      <c r="E605" s="3" t="s">
        <v>7</v>
      </c>
      <c r="F605" s="4" t="s">
        <v>8</v>
      </c>
      <c r="G605" s="25">
        <v>5.28</v>
      </c>
      <c r="H605" s="25">
        <v>0.31</v>
      </c>
      <c r="I605" s="20">
        <v>1.8638399999999999</v>
      </c>
      <c r="J605" s="20">
        <v>1.8057600000000003</v>
      </c>
    </row>
    <row r="606" spans="1:10" x14ac:dyDescent="0.25">
      <c r="A606" s="3" t="s">
        <v>41</v>
      </c>
      <c r="B606" s="3" t="s">
        <v>42</v>
      </c>
      <c r="C606" s="4">
        <v>447</v>
      </c>
      <c r="D606" s="5">
        <v>42062</v>
      </c>
      <c r="E606" s="3" t="s">
        <v>7</v>
      </c>
      <c r="F606" s="4" t="s">
        <v>8</v>
      </c>
      <c r="G606" s="25">
        <v>5</v>
      </c>
      <c r="H606" s="25">
        <v>0.24</v>
      </c>
      <c r="I606" s="20">
        <v>1.8399999999999999</v>
      </c>
      <c r="J606" s="20">
        <v>1.875</v>
      </c>
    </row>
    <row r="607" spans="1:10" x14ac:dyDescent="0.25">
      <c r="A607" s="3" t="s">
        <v>41</v>
      </c>
      <c r="B607" s="3" t="s">
        <v>42</v>
      </c>
      <c r="C607" s="4">
        <v>448</v>
      </c>
      <c r="D607" s="5">
        <v>42062</v>
      </c>
      <c r="E607" s="3" t="s">
        <v>7</v>
      </c>
      <c r="F607" s="4" t="s">
        <v>9</v>
      </c>
      <c r="G607" s="25">
        <v>2.0699999999999998</v>
      </c>
      <c r="H607" s="25">
        <v>0.04</v>
      </c>
      <c r="I607" s="20">
        <v>0.63962999999999992</v>
      </c>
      <c r="J607" s="20">
        <v>0.81972</v>
      </c>
    </row>
    <row r="608" spans="1:10" x14ac:dyDescent="0.25">
      <c r="A608" s="3" t="s">
        <v>41</v>
      </c>
      <c r="B608" s="3" t="s">
        <v>42</v>
      </c>
      <c r="C608" s="4">
        <v>449</v>
      </c>
      <c r="D608" s="5">
        <v>42062</v>
      </c>
      <c r="E608" s="3" t="s">
        <v>7</v>
      </c>
      <c r="F608" s="4" t="s">
        <v>9</v>
      </c>
      <c r="G608" s="25">
        <v>2.97</v>
      </c>
      <c r="H608" s="25">
        <v>0.44</v>
      </c>
      <c r="I608" s="20">
        <v>1.0008900000000001</v>
      </c>
      <c r="J608" s="20">
        <v>1.01871</v>
      </c>
    </row>
    <row r="609" spans="1:10" x14ac:dyDescent="0.25">
      <c r="A609" s="3" t="s">
        <v>41</v>
      </c>
      <c r="B609" s="3" t="s">
        <v>42</v>
      </c>
      <c r="C609" s="4">
        <v>450</v>
      </c>
      <c r="D609" s="5">
        <v>42062</v>
      </c>
      <c r="E609" s="3" t="s">
        <v>7</v>
      </c>
      <c r="F609" s="4" t="s">
        <v>9</v>
      </c>
      <c r="G609" s="20">
        <v>1.88</v>
      </c>
      <c r="H609" s="25">
        <v>0.2</v>
      </c>
      <c r="I609" s="20">
        <v>0.41359999999999997</v>
      </c>
      <c r="J609" s="20">
        <v>0.71063999999999983</v>
      </c>
    </row>
    <row r="610" spans="1:10" x14ac:dyDescent="0.25">
      <c r="A610" s="3" t="s">
        <v>41</v>
      </c>
      <c r="B610" s="3" t="s">
        <v>42</v>
      </c>
      <c r="C610" s="4">
        <v>451</v>
      </c>
      <c r="D610" s="5">
        <v>42062</v>
      </c>
      <c r="E610" s="3" t="s">
        <v>7</v>
      </c>
      <c r="F610" s="4" t="s">
        <v>9</v>
      </c>
      <c r="G610" s="20">
        <v>1.57</v>
      </c>
      <c r="H610" s="20">
        <v>0.12</v>
      </c>
      <c r="I610" s="20">
        <v>0.40663000000000005</v>
      </c>
      <c r="J610" s="20">
        <v>0.63114000000000003</v>
      </c>
    </row>
    <row r="611" spans="1:10" x14ac:dyDescent="0.25">
      <c r="A611" s="3" t="s">
        <v>41</v>
      </c>
      <c r="B611" s="3" t="s">
        <v>42</v>
      </c>
      <c r="C611" s="4">
        <v>452</v>
      </c>
      <c r="D611" s="5">
        <v>42062</v>
      </c>
      <c r="E611" s="3" t="s">
        <v>7</v>
      </c>
      <c r="F611" s="4" t="s">
        <v>9</v>
      </c>
      <c r="G611" s="20">
        <v>2.0099999999999998</v>
      </c>
      <c r="H611" s="25">
        <v>0.03</v>
      </c>
      <c r="I611" s="20">
        <v>0.77786999999999995</v>
      </c>
      <c r="J611" s="20">
        <v>0.58289999999999986</v>
      </c>
    </row>
    <row r="612" spans="1:10" x14ac:dyDescent="0.25">
      <c r="A612" s="3" t="s">
        <v>41</v>
      </c>
      <c r="B612" s="3" t="s">
        <v>42</v>
      </c>
      <c r="C612" s="4">
        <v>453</v>
      </c>
      <c r="D612" s="5">
        <v>42062</v>
      </c>
      <c r="E612" s="3" t="s">
        <v>10</v>
      </c>
      <c r="F612" s="4" t="s">
        <v>8</v>
      </c>
      <c r="G612" s="20">
        <v>5.71</v>
      </c>
      <c r="H612" s="20">
        <v>0.2</v>
      </c>
      <c r="I612" s="20">
        <v>1.8614600000000001</v>
      </c>
      <c r="J612" s="20">
        <v>2.36965</v>
      </c>
    </row>
    <row r="613" spans="1:10" x14ac:dyDescent="0.25">
      <c r="A613" s="3" t="s">
        <v>41</v>
      </c>
      <c r="B613" s="3" t="s">
        <v>42</v>
      </c>
      <c r="C613" s="4">
        <v>454</v>
      </c>
      <c r="D613" s="5">
        <v>42062</v>
      </c>
      <c r="E613" s="3" t="s">
        <v>10</v>
      </c>
      <c r="F613" s="4" t="s">
        <v>8</v>
      </c>
      <c r="G613" s="20">
        <v>7.14</v>
      </c>
      <c r="H613" s="20">
        <v>0.41</v>
      </c>
      <c r="I613" s="20">
        <v>2.5632599999999996</v>
      </c>
      <c r="J613" s="20">
        <v>2.8488599999999997</v>
      </c>
    </row>
    <row r="614" spans="1:10" x14ac:dyDescent="0.25">
      <c r="A614" s="3" t="s">
        <v>41</v>
      </c>
      <c r="B614" s="3" t="s">
        <v>42</v>
      </c>
      <c r="C614" s="4">
        <v>455</v>
      </c>
      <c r="D614" s="5">
        <v>42062</v>
      </c>
      <c r="E614" s="3" t="s">
        <v>10</v>
      </c>
      <c r="F614" s="4" t="s">
        <v>9</v>
      </c>
      <c r="G614" s="20">
        <v>3.1</v>
      </c>
      <c r="H614" s="20">
        <v>0.03</v>
      </c>
      <c r="I614" s="20">
        <v>0.76260000000000006</v>
      </c>
      <c r="J614" s="20">
        <v>1.5252000000000001</v>
      </c>
    </row>
    <row r="615" spans="1:10" x14ac:dyDescent="0.25">
      <c r="A615" s="3" t="s">
        <v>41</v>
      </c>
      <c r="B615" s="3" t="s">
        <v>42</v>
      </c>
      <c r="C615" s="4">
        <v>456</v>
      </c>
      <c r="D615" s="5">
        <v>42062</v>
      </c>
      <c r="E615" s="3" t="s">
        <v>10</v>
      </c>
      <c r="F615" s="4" t="s">
        <v>9</v>
      </c>
      <c r="G615" s="20">
        <v>2</v>
      </c>
      <c r="H615" s="20">
        <v>0.06</v>
      </c>
      <c r="I615" s="20">
        <v>0.59599999999999997</v>
      </c>
      <c r="J615" s="20">
        <v>0.878</v>
      </c>
    </row>
    <row r="616" spans="1:10" x14ac:dyDescent="0.25">
      <c r="A616" s="3" t="s">
        <v>41</v>
      </c>
      <c r="B616" s="3" t="s">
        <v>42</v>
      </c>
      <c r="C616" s="4">
        <v>457</v>
      </c>
      <c r="D616" s="5">
        <v>42062</v>
      </c>
      <c r="E616" s="3" t="s">
        <v>10</v>
      </c>
      <c r="F616" s="4" t="s">
        <v>9</v>
      </c>
      <c r="G616" s="20">
        <v>2.4700000000000002</v>
      </c>
      <c r="H616" s="20">
        <v>0.03</v>
      </c>
      <c r="I616" s="20">
        <v>0.6619600000000001</v>
      </c>
      <c r="J616" s="20">
        <v>1.1856</v>
      </c>
    </row>
    <row r="617" spans="1:10" x14ac:dyDescent="0.25">
      <c r="A617" s="3" t="s">
        <v>41</v>
      </c>
      <c r="B617" s="3" t="s">
        <v>42</v>
      </c>
      <c r="C617" s="4">
        <v>575</v>
      </c>
      <c r="D617" s="5">
        <v>42181</v>
      </c>
      <c r="E617" s="3" t="s">
        <v>7</v>
      </c>
      <c r="F617" s="4" t="s">
        <v>8</v>
      </c>
      <c r="G617" s="20">
        <v>6.52</v>
      </c>
      <c r="H617" s="20">
        <v>0.63</v>
      </c>
      <c r="I617" s="20">
        <v>2.42544</v>
      </c>
      <c r="J617" s="20">
        <v>2.45804</v>
      </c>
    </row>
    <row r="618" spans="1:10" x14ac:dyDescent="0.25">
      <c r="A618" s="3" t="s">
        <v>41</v>
      </c>
      <c r="B618" s="3" t="s">
        <v>42</v>
      </c>
      <c r="C618" s="4">
        <v>576</v>
      </c>
      <c r="D618" s="5">
        <v>42181</v>
      </c>
      <c r="E618" s="3" t="s">
        <v>7</v>
      </c>
      <c r="F618" s="4" t="s">
        <v>11</v>
      </c>
      <c r="G618" s="20">
        <v>7.09</v>
      </c>
      <c r="H618" s="20">
        <v>0.81</v>
      </c>
      <c r="I618" s="20">
        <v>2.7934599999999996</v>
      </c>
      <c r="J618" s="20">
        <v>2.6303899999999998</v>
      </c>
    </row>
    <row r="619" spans="1:10" x14ac:dyDescent="0.25">
      <c r="A619" s="3" t="s">
        <v>41</v>
      </c>
      <c r="B619" s="3" t="s">
        <v>42</v>
      </c>
      <c r="C619" s="4">
        <v>577</v>
      </c>
      <c r="D619" s="5">
        <v>42181</v>
      </c>
      <c r="E619" s="3" t="s">
        <v>7</v>
      </c>
      <c r="F619" s="4" t="s">
        <v>11</v>
      </c>
      <c r="G619" s="20">
        <v>8.74</v>
      </c>
      <c r="H619" s="20">
        <v>0.5</v>
      </c>
      <c r="I619" s="20">
        <v>3.5921400000000006</v>
      </c>
      <c r="J619" s="20">
        <v>3.0502599999999997</v>
      </c>
    </row>
    <row r="620" spans="1:10" x14ac:dyDescent="0.25">
      <c r="A620" s="3" t="s">
        <v>41</v>
      </c>
      <c r="B620" s="3" t="s">
        <v>42</v>
      </c>
      <c r="C620" s="4">
        <v>578</v>
      </c>
      <c r="D620" s="5">
        <v>42181</v>
      </c>
      <c r="E620" s="3" t="s">
        <v>7</v>
      </c>
      <c r="F620" s="4" t="s">
        <v>9</v>
      </c>
      <c r="G620" s="20">
        <v>3.3</v>
      </c>
      <c r="H620" s="20">
        <v>0.66</v>
      </c>
      <c r="I620" s="20">
        <v>1.0328999999999999</v>
      </c>
      <c r="J620" s="20">
        <v>1.1088</v>
      </c>
    </row>
    <row r="621" spans="1:10" x14ac:dyDescent="0.25">
      <c r="A621" s="3" t="s">
        <v>41</v>
      </c>
      <c r="B621" s="3" t="s">
        <v>42</v>
      </c>
      <c r="C621" s="4">
        <v>579</v>
      </c>
      <c r="D621" s="5">
        <v>42181</v>
      </c>
      <c r="E621" s="3" t="s">
        <v>10</v>
      </c>
      <c r="F621" s="4" t="s">
        <v>8</v>
      </c>
      <c r="G621" s="20">
        <v>12.31</v>
      </c>
      <c r="H621" s="20">
        <v>1.75</v>
      </c>
      <c r="I621" s="20">
        <v>4.0130600000000003</v>
      </c>
      <c r="J621" s="20">
        <v>4.8870700000000005</v>
      </c>
    </row>
    <row r="622" spans="1:10" x14ac:dyDescent="0.25">
      <c r="A622" s="3" t="s">
        <v>41</v>
      </c>
      <c r="B622" s="3" t="s">
        <v>42</v>
      </c>
      <c r="C622" s="4">
        <v>580</v>
      </c>
      <c r="D622" s="5">
        <v>42181</v>
      </c>
      <c r="E622" s="3" t="s">
        <v>10</v>
      </c>
      <c r="F622" s="4" t="s">
        <v>11</v>
      </c>
      <c r="G622" s="20">
        <v>11.67</v>
      </c>
      <c r="H622" s="20">
        <v>1.31</v>
      </c>
      <c r="I622" s="20">
        <v>4.3995899999999999</v>
      </c>
      <c r="J622" s="20">
        <v>4.1078400000000004</v>
      </c>
    </row>
    <row r="623" spans="1:10" x14ac:dyDescent="0.25">
      <c r="A623" s="3" t="s">
        <v>41</v>
      </c>
      <c r="B623" s="3" t="s">
        <v>42</v>
      </c>
      <c r="C623" s="4">
        <v>581</v>
      </c>
      <c r="D623" s="5">
        <v>42181</v>
      </c>
      <c r="E623" s="3" t="s">
        <v>10</v>
      </c>
      <c r="F623" s="4" t="s">
        <v>11</v>
      </c>
      <c r="G623" s="20">
        <v>8.9700000000000006</v>
      </c>
      <c r="H623" s="20">
        <v>0.77</v>
      </c>
      <c r="I623" s="20">
        <v>3.3189000000000002</v>
      </c>
      <c r="J623" s="20">
        <v>3.2022900000000005</v>
      </c>
    </row>
    <row r="624" spans="1:10" x14ac:dyDescent="0.25">
      <c r="A624" s="3" t="s">
        <v>41</v>
      </c>
      <c r="B624" s="3" t="s">
        <v>42</v>
      </c>
      <c r="C624" s="4">
        <v>582</v>
      </c>
      <c r="D624" s="5">
        <v>42181</v>
      </c>
      <c r="E624" s="3" t="s">
        <v>10</v>
      </c>
      <c r="F624" s="4" t="s">
        <v>11</v>
      </c>
      <c r="G624" s="20">
        <v>9.19</v>
      </c>
      <c r="H624" s="20">
        <v>1.38</v>
      </c>
      <c r="I624" s="20">
        <v>3.1797400000000002</v>
      </c>
      <c r="J624" s="20">
        <v>3.5932900000000001</v>
      </c>
    </row>
    <row r="625" spans="1:10" x14ac:dyDescent="0.25">
      <c r="A625" s="3" t="s">
        <v>41</v>
      </c>
      <c r="B625" s="3" t="s">
        <v>42</v>
      </c>
      <c r="C625" s="4">
        <v>583</v>
      </c>
      <c r="D625" s="5">
        <v>42181</v>
      </c>
      <c r="E625" s="3" t="s">
        <v>10</v>
      </c>
      <c r="F625" s="4" t="s">
        <v>9</v>
      </c>
      <c r="G625" s="20">
        <v>4.18</v>
      </c>
      <c r="H625" s="20">
        <v>0.71</v>
      </c>
      <c r="I625" s="20">
        <v>1.4629999999999999</v>
      </c>
      <c r="J625" s="20">
        <v>1.5925799999999999</v>
      </c>
    </row>
    <row r="626" spans="1:10" x14ac:dyDescent="0.25">
      <c r="A626" s="3" t="s">
        <v>41</v>
      </c>
      <c r="B626" s="3" t="s">
        <v>42</v>
      </c>
      <c r="C626" s="4">
        <v>584</v>
      </c>
      <c r="D626" s="5">
        <v>42181</v>
      </c>
      <c r="E626" s="3" t="s">
        <v>10</v>
      </c>
      <c r="F626" s="4" t="s">
        <v>9</v>
      </c>
      <c r="G626" s="20">
        <v>3.47</v>
      </c>
      <c r="H626" s="20">
        <v>0.33</v>
      </c>
      <c r="I626" s="20">
        <v>1.0861100000000001</v>
      </c>
      <c r="J626" s="20">
        <v>1.54068</v>
      </c>
    </row>
    <row r="627" spans="1:10" x14ac:dyDescent="0.25">
      <c r="A627" s="3" t="s">
        <v>41</v>
      </c>
      <c r="B627" s="3" t="s">
        <v>42</v>
      </c>
      <c r="C627" s="4">
        <v>725</v>
      </c>
      <c r="D627" s="5">
        <v>42388</v>
      </c>
      <c r="E627" s="3" t="s">
        <v>10</v>
      </c>
      <c r="F627" s="4" t="s">
        <v>8</v>
      </c>
      <c r="G627" s="24">
        <v>5.78</v>
      </c>
      <c r="H627" s="24">
        <v>0.12</v>
      </c>
      <c r="I627" s="20">
        <v>1.7513400000000001</v>
      </c>
      <c r="J627" s="20">
        <v>1.2311400000000001</v>
      </c>
    </row>
    <row r="628" spans="1:10" x14ac:dyDescent="0.25">
      <c r="A628" s="3" t="s">
        <v>41</v>
      </c>
      <c r="B628" s="3" t="s">
        <v>42</v>
      </c>
      <c r="C628" s="4">
        <v>726</v>
      </c>
      <c r="D628" s="5">
        <v>42388</v>
      </c>
      <c r="E628" s="3" t="s">
        <v>10</v>
      </c>
      <c r="F628" s="4" t="s">
        <v>8</v>
      </c>
      <c r="G628" s="24">
        <v>6.31</v>
      </c>
      <c r="H628" s="24">
        <v>0.11</v>
      </c>
      <c r="I628" s="20">
        <v>1.8866899999999998</v>
      </c>
      <c r="J628" s="20">
        <v>1.2430699999999999</v>
      </c>
    </row>
    <row r="629" spans="1:10" x14ac:dyDescent="0.25">
      <c r="A629" s="3" t="s">
        <v>41</v>
      </c>
      <c r="B629" s="3" t="s">
        <v>42</v>
      </c>
      <c r="C629" s="4">
        <v>727</v>
      </c>
      <c r="D629" s="5">
        <v>42388</v>
      </c>
      <c r="E629" s="3" t="s">
        <v>10</v>
      </c>
      <c r="F629" s="4" t="s">
        <v>11</v>
      </c>
      <c r="G629" s="24">
        <v>7.58</v>
      </c>
      <c r="H629" s="24">
        <v>0.14000000000000001</v>
      </c>
      <c r="I629" s="20">
        <v>2.2436800000000003</v>
      </c>
      <c r="J629" s="20">
        <v>1.64486</v>
      </c>
    </row>
    <row r="630" spans="1:10" x14ac:dyDescent="0.25">
      <c r="A630" s="3" t="s">
        <v>41</v>
      </c>
      <c r="B630" s="3" t="s">
        <v>42</v>
      </c>
      <c r="C630" s="4">
        <v>728</v>
      </c>
      <c r="D630" s="5">
        <v>42388</v>
      </c>
      <c r="E630" s="3" t="s">
        <v>10</v>
      </c>
      <c r="F630" s="4" t="s">
        <v>11</v>
      </c>
      <c r="G630" s="24">
        <v>11.33</v>
      </c>
      <c r="H630" s="24">
        <v>0.26</v>
      </c>
      <c r="I630" s="20">
        <v>4.0901300000000003</v>
      </c>
      <c r="J630" s="20">
        <v>1.7901400000000001</v>
      </c>
    </row>
    <row r="631" spans="1:10" x14ac:dyDescent="0.25">
      <c r="A631" s="3" t="s">
        <v>41</v>
      </c>
      <c r="B631" s="3" t="s">
        <v>42</v>
      </c>
      <c r="C631" s="4">
        <v>729</v>
      </c>
      <c r="D631" s="5">
        <v>42388</v>
      </c>
      <c r="E631" s="3" t="s">
        <v>10</v>
      </c>
      <c r="F631" s="4" t="s">
        <v>11</v>
      </c>
      <c r="G631" s="24">
        <v>12.94</v>
      </c>
      <c r="H631" s="24">
        <v>0.43</v>
      </c>
      <c r="I631" s="20">
        <v>4.3219599999999998</v>
      </c>
      <c r="J631" s="20">
        <v>1.1878919999999999</v>
      </c>
    </row>
    <row r="632" spans="1:10" x14ac:dyDescent="0.25">
      <c r="A632" s="3" t="s">
        <v>41</v>
      </c>
      <c r="B632" s="3" t="s">
        <v>42</v>
      </c>
      <c r="C632" s="4">
        <v>730</v>
      </c>
      <c r="D632" s="5">
        <v>42388</v>
      </c>
      <c r="E632" s="3" t="s">
        <v>10</v>
      </c>
      <c r="F632" s="4" t="s">
        <v>11</v>
      </c>
      <c r="G632" s="24">
        <v>6.96</v>
      </c>
      <c r="H632" s="24">
        <v>0.08</v>
      </c>
      <c r="I632" s="20">
        <v>2.0740799999999999</v>
      </c>
      <c r="J632" s="20">
        <v>0.96744000000000008</v>
      </c>
    </row>
    <row r="633" spans="1:10" x14ac:dyDescent="0.25">
      <c r="A633" s="3" t="s">
        <v>41</v>
      </c>
      <c r="B633" s="3" t="s">
        <v>42</v>
      </c>
      <c r="C633" s="4">
        <v>731</v>
      </c>
      <c r="D633" s="5">
        <v>42388</v>
      </c>
      <c r="E633" s="3" t="s">
        <v>7</v>
      </c>
      <c r="F633" s="4" t="s">
        <v>8</v>
      </c>
      <c r="G633" s="24">
        <v>9.6999999999999993</v>
      </c>
      <c r="H633" s="24">
        <v>0.16</v>
      </c>
      <c r="I633" s="20">
        <v>4.0739999999999998</v>
      </c>
      <c r="J633" s="20">
        <v>1.2706999999999999</v>
      </c>
    </row>
    <row r="634" spans="1:10" x14ac:dyDescent="0.25">
      <c r="A634" s="3" t="s">
        <v>41</v>
      </c>
      <c r="B634" s="3" t="s">
        <v>42</v>
      </c>
      <c r="C634" s="4">
        <v>732</v>
      </c>
      <c r="D634" s="5">
        <v>42388</v>
      </c>
      <c r="E634" s="3" t="s">
        <v>7</v>
      </c>
      <c r="F634" s="4" t="s">
        <v>8</v>
      </c>
      <c r="G634" s="24">
        <v>7.04</v>
      </c>
      <c r="H634" s="24">
        <v>0.11</v>
      </c>
      <c r="I634" s="20">
        <v>1.8444800000000001</v>
      </c>
      <c r="J634" s="20">
        <v>0.70188800000000007</v>
      </c>
    </row>
    <row r="635" spans="1:10" x14ac:dyDescent="0.25">
      <c r="A635" s="3" t="s">
        <v>41</v>
      </c>
      <c r="B635" s="3" t="s">
        <v>42</v>
      </c>
      <c r="C635" s="4">
        <v>733</v>
      </c>
      <c r="D635" s="5">
        <v>42388</v>
      </c>
      <c r="E635" s="3" t="s">
        <v>7</v>
      </c>
      <c r="F635" s="4" t="s">
        <v>11</v>
      </c>
      <c r="G635" s="24">
        <v>4.8</v>
      </c>
      <c r="H635" s="24">
        <v>0.03</v>
      </c>
      <c r="I635" s="20">
        <v>1.1856</v>
      </c>
      <c r="J635" s="20">
        <v>0.71040000000000003</v>
      </c>
    </row>
    <row r="636" spans="1:10" x14ac:dyDescent="0.25">
      <c r="A636" s="3" t="s">
        <v>41</v>
      </c>
      <c r="B636" s="3" t="s">
        <v>42</v>
      </c>
      <c r="C636" s="4">
        <v>734</v>
      </c>
      <c r="D636" s="5">
        <v>42388</v>
      </c>
      <c r="E636" s="3" t="s">
        <v>7</v>
      </c>
      <c r="F636" s="4" t="s">
        <v>11</v>
      </c>
      <c r="G636" s="24">
        <v>4.5</v>
      </c>
      <c r="H636" s="24">
        <v>0.08</v>
      </c>
      <c r="I636" s="20">
        <v>0.75149999999999995</v>
      </c>
      <c r="J636" s="20">
        <v>0.55800000000000005</v>
      </c>
    </row>
    <row r="637" spans="1:10" x14ac:dyDescent="0.25">
      <c r="A637" s="3" t="s">
        <v>41</v>
      </c>
      <c r="B637" s="3" t="s">
        <v>42</v>
      </c>
      <c r="C637" s="4">
        <v>735</v>
      </c>
      <c r="D637" s="5">
        <v>42388</v>
      </c>
      <c r="E637" s="3" t="s">
        <v>7</v>
      </c>
      <c r="F637" s="4" t="s">
        <v>11</v>
      </c>
      <c r="G637" s="24">
        <v>5.85</v>
      </c>
      <c r="H637" s="24">
        <v>7.0000000000000007E-2</v>
      </c>
      <c r="I637" s="20">
        <v>1.5911999999999999</v>
      </c>
      <c r="J637" s="20">
        <v>0.64934999999999998</v>
      </c>
    </row>
    <row r="638" spans="1:10" x14ac:dyDescent="0.25">
      <c r="A638" s="3" t="s">
        <v>41</v>
      </c>
      <c r="B638" s="3" t="s">
        <v>42</v>
      </c>
      <c r="C638" s="4">
        <v>736</v>
      </c>
      <c r="D638" s="5">
        <v>42388</v>
      </c>
      <c r="E638" s="3" t="s">
        <v>7</v>
      </c>
      <c r="F638" s="4" t="s">
        <v>11</v>
      </c>
      <c r="G638" s="24">
        <v>6.05</v>
      </c>
      <c r="H638" s="24">
        <v>7.0000000000000007E-2</v>
      </c>
      <c r="I638" s="20">
        <v>2.0146499999999996</v>
      </c>
      <c r="J638" s="20">
        <v>0.48520999999999992</v>
      </c>
    </row>
    <row r="639" spans="1:10" x14ac:dyDescent="0.25">
      <c r="A639" s="3" t="s">
        <v>43</v>
      </c>
      <c r="B639" s="3" t="s">
        <v>44</v>
      </c>
      <c r="C639" s="4">
        <v>121</v>
      </c>
      <c r="D639" s="18">
        <v>42097</v>
      </c>
      <c r="E639" s="3" t="s">
        <v>7</v>
      </c>
      <c r="F639" s="4" t="s">
        <v>8</v>
      </c>
      <c r="G639" s="20">
        <v>2.19</v>
      </c>
      <c r="H639" s="20">
        <v>0.12</v>
      </c>
      <c r="I639" s="20">
        <v>0.66356999999999999</v>
      </c>
      <c r="J639" s="20">
        <v>0.72489000000000003</v>
      </c>
    </row>
    <row r="640" spans="1:10" x14ac:dyDescent="0.25">
      <c r="A640" s="3" t="s">
        <v>43</v>
      </c>
      <c r="B640" s="3" t="s">
        <v>44</v>
      </c>
      <c r="C640" s="4">
        <v>122</v>
      </c>
      <c r="D640" s="18">
        <v>42097</v>
      </c>
      <c r="E640" s="3" t="s">
        <v>7</v>
      </c>
      <c r="F640" s="4" t="s">
        <v>9</v>
      </c>
      <c r="G640" s="20">
        <v>2.12</v>
      </c>
      <c r="H640" s="20">
        <v>0.16</v>
      </c>
      <c r="I640" s="20">
        <v>0.50880000000000003</v>
      </c>
      <c r="J640" s="20">
        <v>0.90312000000000003</v>
      </c>
    </row>
    <row r="641" spans="1:10" x14ac:dyDescent="0.25">
      <c r="A641" s="3" t="s">
        <v>43</v>
      </c>
      <c r="B641" s="3" t="s">
        <v>44</v>
      </c>
      <c r="C641" s="4">
        <v>123</v>
      </c>
      <c r="D641" s="18">
        <v>42097</v>
      </c>
      <c r="E641" s="3" t="s">
        <v>10</v>
      </c>
      <c r="F641" s="4" t="s">
        <v>8</v>
      </c>
      <c r="G641" s="20">
        <v>3.5</v>
      </c>
      <c r="H641" s="20">
        <v>0.42</v>
      </c>
      <c r="I641" s="20">
        <v>1.218</v>
      </c>
      <c r="J641" s="20">
        <v>1.0745</v>
      </c>
    </row>
    <row r="642" spans="1:10" x14ac:dyDescent="0.25">
      <c r="A642" s="3" t="s">
        <v>43</v>
      </c>
      <c r="B642" s="3" t="s">
        <v>44</v>
      </c>
      <c r="C642" s="4">
        <v>124</v>
      </c>
      <c r="D642" s="18">
        <v>42097</v>
      </c>
      <c r="E642" s="3" t="s">
        <v>10</v>
      </c>
      <c r="F642" s="4" t="s">
        <v>8</v>
      </c>
      <c r="G642" s="20">
        <v>2.25</v>
      </c>
      <c r="H642" s="20">
        <v>0.26</v>
      </c>
      <c r="I642" s="20">
        <v>0.90450000000000008</v>
      </c>
      <c r="J642" s="20">
        <v>0.50624999999999998</v>
      </c>
    </row>
    <row r="643" spans="1:10" x14ac:dyDescent="0.25">
      <c r="A643" s="3" t="s">
        <v>43</v>
      </c>
      <c r="B643" s="3" t="s">
        <v>44</v>
      </c>
      <c r="C643" s="4">
        <v>125</v>
      </c>
      <c r="D643" s="18">
        <v>42097</v>
      </c>
      <c r="E643" s="3" t="s">
        <v>10</v>
      </c>
      <c r="F643" s="4" t="s">
        <v>9</v>
      </c>
      <c r="G643" s="20">
        <v>1.28</v>
      </c>
      <c r="H643" s="20">
        <v>0.08</v>
      </c>
      <c r="I643" s="20">
        <v>0.25728000000000001</v>
      </c>
      <c r="J643" s="20">
        <v>0.50175999999999998</v>
      </c>
    </row>
    <row r="644" spans="1:10" x14ac:dyDescent="0.25">
      <c r="A644" s="3" t="s">
        <v>43</v>
      </c>
      <c r="B644" s="3" t="s">
        <v>44</v>
      </c>
      <c r="C644" s="4">
        <v>126</v>
      </c>
      <c r="D644" s="18">
        <v>42097</v>
      </c>
      <c r="E644" s="3" t="s">
        <v>10</v>
      </c>
      <c r="F644" s="4" t="s">
        <v>9</v>
      </c>
      <c r="G644" s="20">
        <v>1.65</v>
      </c>
      <c r="H644" s="20">
        <v>0.22</v>
      </c>
      <c r="I644" s="20">
        <v>0.47354999999999992</v>
      </c>
      <c r="J644" s="20">
        <v>0.56759999999999988</v>
      </c>
    </row>
    <row r="645" spans="1:10" x14ac:dyDescent="0.25">
      <c r="A645" s="3" t="s">
        <v>43</v>
      </c>
      <c r="B645" s="3" t="s">
        <v>44</v>
      </c>
      <c r="C645" s="4">
        <v>169</v>
      </c>
      <c r="D645" s="5">
        <v>42111</v>
      </c>
      <c r="E645" s="3" t="s">
        <v>7</v>
      </c>
      <c r="F645" s="4" t="s">
        <v>8</v>
      </c>
      <c r="G645" s="23">
        <v>3.04</v>
      </c>
      <c r="H645" s="23">
        <v>0.42</v>
      </c>
      <c r="I645" s="20">
        <v>1.1916800000000001</v>
      </c>
      <c r="J645" s="20">
        <v>1.0184</v>
      </c>
    </row>
    <row r="646" spans="1:10" x14ac:dyDescent="0.25">
      <c r="A646" s="3" t="s">
        <v>43</v>
      </c>
      <c r="B646" s="3" t="s">
        <v>44</v>
      </c>
      <c r="C646" s="4">
        <v>170</v>
      </c>
      <c r="D646" s="5">
        <v>42111</v>
      </c>
      <c r="E646" s="3" t="s">
        <v>7</v>
      </c>
      <c r="F646" s="4" t="s">
        <v>8</v>
      </c>
      <c r="G646" s="23">
        <v>2.4300000000000002</v>
      </c>
      <c r="H646" s="23">
        <v>0.31</v>
      </c>
      <c r="I646" s="20">
        <v>0.99387000000000003</v>
      </c>
      <c r="J646" s="20">
        <v>0.69740999999999997</v>
      </c>
    </row>
    <row r="647" spans="1:10" x14ac:dyDescent="0.25">
      <c r="A647" s="3" t="s">
        <v>43</v>
      </c>
      <c r="B647" s="3" t="s">
        <v>44</v>
      </c>
      <c r="C647" s="4">
        <v>171</v>
      </c>
      <c r="D647" s="5">
        <v>42111</v>
      </c>
      <c r="E647" s="3" t="s">
        <v>7</v>
      </c>
      <c r="F647" s="4" t="s">
        <v>8</v>
      </c>
      <c r="G647" s="23">
        <v>4.04</v>
      </c>
      <c r="H647" s="23">
        <v>0.66</v>
      </c>
      <c r="I647" s="20">
        <v>1.5150000000000001</v>
      </c>
      <c r="J647" s="20">
        <v>1.2847200000000001</v>
      </c>
    </row>
    <row r="648" spans="1:10" x14ac:dyDescent="0.25">
      <c r="A648" s="3" t="s">
        <v>43</v>
      </c>
      <c r="B648" s="3" t="s">
        <v>44</v>
      </c>
      <c r="C648" s="4">
        <v>172</v>
      </c>
      <c r="D648" s="5">
        <v>42111</v>
      </c>
      <c r="E648" s="3" t="s">
        <v>7</v>
      </c>
      <c r="F648" s="4" t="s">
        <v>9</v>
      </c>
      <c r="G648" s="23">
        <v>1.31</v>
      </c>
      <c r="H648" s="23">
        <v>0.39</v>
      </c>
      <c r="I648" s="20">
        <v>0.126415</v>
      </c>
      <c r="J648" s="20">
        <v>0.70609000000000011</v>
      </c>
    </row>
    <row r="649" spans="1:10" x14ac:dyDescent="0.25">
      <c r="A649" s="3" t="s">
        <v>43</v>
      </c>
      <c r="B649" s="3" t="s">
        <v>44</v>
      </c>
      <c r="C649" s="4">
        <v>173</v>
      </c>
      <c r="D649" s="5">
        <v>42111</v>
      </c>
      <c r="E649" s="3" t="s">
        <v>7</v>
      </c>
      <c r="F649" s="4" t="s">
        <v>9</v>
      </c>
      <c r="G649" s="23">
        <v>1.4</v>
      </c>
      <c r="H649" s="23">
        <v>0.25</v>
      </c>
      <c r="I649" s="20">
        <v>0.41299999999999998</v>
      </c>
      <c r="J649" s="20">
        <v>0.57119999999999993</v>
      </c>
    </row>
    <row r="650" spans="1:10" x14ac:dyDescent="0.25">
      <c r="A650" s="3" t="s">
        <v>43</v>
      </c>
      <c r="B650" s="3" t="s">
        <v>44</v>
      </c>
      <c r="C650" s="4">
        <v>174</v>
      </c>
      <c r="D650" s="5">
        <v>42111</v>
      </c>
      <c r="E650" s="3" t="s">
        <v>7</v>
      </c>
      <c r="F650" s="4" t="s">
        <v>9</v>
      </c>
      <c r="G650" s="23">
        <v>2.4300000000000002</v>
      </c>
      <c r="H650" s="23">
        <v>0.28999999999999998</v>
      </c>
      <c r="I650" s="20">
        <v>0.77274000000000009</v>
      </c>
      <c r="J650" s="20">
        <v>1.1202300000000001</v>
      </c>
    </row>
    <row r="651" spans="1:10" x14ac:dyDescent="0.25">
      <c r="A651" s="3" t="s">
        <v>43</v>
      </c>
      <c r="B651" s="3" t="s">
        <v>44</v>
      </c>
      <c r="C651" s="4">
        <v>176</v>
      </c>
      <c r="D651" s="5">
        <v>42111</v>
      </c>
      <c r="E651" s="3" t="s">
        <v>10</v>
      </c>
      <c r="F651" s="4" t="s">
        <v>8</v>
      </c>
      <c r="G651" s="23">
        <v>3.47</v>
      </c>
      <c r="H651" s="23">
        <v>0.66</v>
      </c>
      <c r="I651" s="20">
        <v>0.95772000000000013</v>
      </c>
      <c r="J651" s="20">
        <v>1.41923</v>
      </c>
    </row>
    <row r="652" spans="1:10" x14ac:dyDescent="0.25">
      <c r="A652" s="3" t="s">
        <v>43</v>
      </c>
      <c r="B652" s="3" t="s">
        <v>44</v>
      </c>
      <c r="C652" s="4">
        <v>177</v>
      </c>
      <c r="D652" s="5">
        <v>42111</v>
      </c>
      <c r="E652" s="3" t="s">
        <v>10</v>
      </c>
      <c r="F652" s="4" t="s">
        <v>8</v>
      </c>
      <c r="G652" s="23">
        <v>3.25</v>
      </c>
      <c r="H652" s="23">
        <v>0.48</v>
      </c>
      <c r="I652" s="20">
        <v>0.89700000000000002</v>
      </c>
      <c r="J652" s="20">
        <v>1.3520000000000001</v>
      </c>
    </row>
    <row r="653" spans="1:10" x14ac:dyDescent="0.25">
      <c r="A653" s="3" t="s">
        <v>43</v>
      </c>
      <c r="B653" s="3" t="s">
        <v>44</v>
      </c>
      <c r="C653" s="4">
        <v>178</v>
      </c>
      <c r="D653" s="5">
        <v>42111</v>
      </c>
      <c r="E653" s="3" t="s">
        <v>10</v>
      </c>
      <c r="F653" s="4" t="s">
        <v>9</v>
      </c>
      <c r="G653" s="23">
        <v>2.52</v>
      </c>
      <c r="H653" s="23">
        <v>0.26</v>
      </c>
      <c r="I653" s="20">
        <v>0.78371999999999997</v>
      </c>
      <c r="J653" s="20">
        <v>1.2070799999999999</v>
      </c>
    </row>
    <row r="654" spans="1:10" x14ac:dyDescent="0.25">
      <c r="A654" s="3" t="s">
        <v>43</v>
      </c>
      <c r="B654" s="3" t="s">
        <v>44</v>
      </c>
      <c r="C654" s="4">
        <v>179</v>
      </c>
      <c r="D654" s="5">
        <v>42111</v>
      </c>
      <c r="E654" s="3" t="s">
        <v>10</v>
      </c>
      <c r="F654" s="4" t="s">
        <v>9</v>
      </c>
      <c r="G654" s="23">
        <v>1.82</v>
      </c>
      <c r="H654" s="23">
        <v>0.34</v>
      </c>
      <c r="I654" s="20">
        <v>0.43680000000000002</v>
      </c>
      <c r="J654" s="20">
        <v>0.89544000000000012</v>
      </c>
    </row>
    <row r="655" spans="1:10" x14ac:dyDescent="0.25">
      <c r="A655" s="3" t="s">
        <v>43</v>
      </c>
      <c r="B655" s="3" t="s">
        <v>44</v>
      </c>
      <c r="C655" s="4">
        <v>182</v>
      </c>
      <c r="D655" s="5">
        <v>42116</v>
      </c>
      <c r="E655" s="3" t="s">
        <v>7</v>
      </c>
      <c r="F655" s="4" t="s">
        <v>8</v>
      </c>
      <c r="G655" s="20">
        <v>2.61</v>
      </c>
      <c r="H655" s="20">
        <v>0.6</v>
      </c>
      <c r="I655" s="20">
        <v>0.87956999999999996</v>
      </c>
      <c r="J655" s="20">
        <v>0.81953999999999994</v>
      </c>
    </row>
    <row r="656" spans="1:10" x14ac:dyDescent="0.25">
      <c r="A656" s="3" t="s">
        <v>43</v>
      </c>
      <c r="B656" s="3" t="s">
        <v>44</v>
      </c>
      <c r="C656" s="4">
        <v>183</v>
      </c>
      <c r="D656" s="5">
        <v>42116</v>
      </c>
      <c r="E656" s="3" t="s">
        <v>7</v>
      </c>
      <c r="F656" s="4" t="s">
        <v>9</v>
      </c>
      <c r="G656" s="20">
        <v>1.22</v>
      </c>
      <c r="H656" s="20">
        <v>0.35</v>
      </c>
      <c r="I656" s="20">
        <v>0.20252000000000001</v>
      </c>
      <c r="J656" s="20">
        <v>0.51239999999999997</v>
      </c>
    </row>
    <row r="657" spans="1:10" x14ac:dyDescent="0.25">
      <c r="A657" s="3" t="s">
        <v>43</v>
      </c>
      <c r="B657" s="3" t="s">
        <v>44</v>
      </c>
      <c r="C657" s="4">
        <v>184</v>
      </c>
      <c r="D657" s="5">
        <v>42116</v>
      </c>
      <c r="E657" s="3" t="s">
        <v>10</v>
      </c>
      <c r="F657" s="4" t="s">
        <v>8</v>
      </c>
      <c r="G657" s="20">
        <v>4.47</v>
      </c>
      <c r="H657" s="20">
        <v>0.56000000000000005</v>
      </c>
      <c r="I657" s="20">
        <v>1.6896599999999997</v>
      </c>
      <c r="J657" s="20">
        <v>1.4438099999999998</v>
      </c>
    </row>
    <row r="658" spans="1:10" x14ac:dyDescent="0.25">
      <c r="A658" s="3" t="s">
        <v>43</v>
      </c>
      <c r="B658" s="3" t="s">
        <v>44</v>
      </c>
      <c r="C658" s="4">
        <v>185</v>
      </c>
      <c r="D658" s="5">
        <v>42116</v>
      </c>
      <c r="E658" s="3" t="s">
        <v>10</v>
      </c>
      <c r="F658" s="4" t="s">
        <v>8</v>
      </c>
      <c r="G658" s="20">
        <v>4.03</v>
      </c>
      <c r="H658" s="20">
        <v>0.65</v>
      </c>
      <c r="I658" s="20">
        <v>1.5233399999999999</v>
      </c>
      <c r="J658" s="20">
        <v>1.3984100000000002</v>
      </c>
    </row>
    <row r="659" spans="1:10" x14ac:dyDescent="0.25">
      <c r="A659" s="3" t="s">
        <v>43</v>
      </c>
      <c r="B659" s="3" t="s">
        <v>44</v>
      </c>
      <c r="C659" s="4">
        <v>186</v>
      </c>
      <c r="D659" s="5">
        <v>42116</v>
      </c>
      <c r="E659" s="3" t="s">
        <v>10</v>
      </c>
      <c r="F659" s="4" t="s">
        <v>9</v>
      </c>
      <c r="G659" s="20">
        <v>2.17</v>
      </c>
      <c r="H659" s="20">
        <v>0.25</v>
      </c>
      <c r="I659" s="20">
        <v>0.48174</v>
      </c>
      <c r="J659" s="20">
        <v>1.1696299999999999</v>
      </c>
    </row>
    <row r="660" spans="1:10" x14ac:dyDescent="0.25">
      <c r="A660" s="3" t="s">
        <v>43</v>
      </c>
      <c r="B660" s="3" t="s">
        <v>44</v>
      </c>
      <c r="C660" s="4">
        <v>187</v>
      </c>
      <c r="D660" s="5">
        <v>42116</v>
      </c>
      <c r="E660" s="3" t="s">
        <v>10</v>
      </c>
      <c r="F660" s="4" t="s">
        <v>9</v>
      </c>
      <c r="G660" s="20">
        <v>1.55</v>
      </c>
      <c r="H660" s="20">
        <v>0.17</v>
      </c>
      <c r="I660" s="20">
        <v>0.4588000000000001</v>
      </c>
      <c r="J660" s="20">
        <v>0.76260000000000006</v>
      </c>
    </row>
    <row r="661" spans="1:10" x14ac:dyDescent="0.25">
      <c r="A661" s="3" t="s">
        <v>43</v>
      </c>
      <c r="B661" s="3" t="s">
        <v>44</v>
      </c>
      <c r="C661" s="4">
        <v>188</v>
      </c>
      <c r="D661" s="5">
        <v>42116</v>
      </c>
      <c r="E661" s="3" t="s">
        <v>10</v>
      </c>
      <c r="F661" s="4" t="s">
        <v>9</v>
      </c>
      <c r="G661" s="20">
        <v>0.53</v>
      </c>
      <c r="H661" s="20">
        <v>0.19</v>
      </c>
      <c r="I661" s="20">
        <v>0.10335000000000001</v>
      </c>
      <c r="J661" s="20">
        <v>0.20033999999999999</v>
      </c>
    </row>
    <row r="662" spans="1:10" x14ac:dyDescent="0.25">
      <c r="A662" s="3" t="s">
        <v>43</v>
      </c>
      <c r="B662" s="3" t="s">
        <v>44</v>
      </c>
      <c r="C662" s="4">
        <v>287</v>
      </c>
      <c r="D662" s="5">
        <v>42151</v>
      </c>
      <c r="E662" s="3" t="s">
        <v>7</v>
      </c>
      <c r="F662" s="4" t="s">
        <v>8</v>
      </c>
      <c r="G662" s="20">
        <v>2.6</v>
      </c>
      <c r="H662" s="20">
        <v>0.34</v>
      </c>
      <c r="I662" s="20">
        <v>0.90479999999999994</v>
      </c>
      <c r="J662" s="20">
        <v>0.98020000000000007</v>
      </c>
    </row>
    <row r="663" spans="1:10" x14ac:dyDescent="0.25">
      <c r="A663" s="3" t="s">
        <v>43</v>
      </c>
      <c r="B663" s="3" t="s">
        <v>44</v>
      </c>
      <c r="C663" s="4">
        <v>288</v>
      </c>
      <c r="D663" s="5">
        <v>42151</v>
      </c>
      <c r="E663" s="3" t="s">
        <v>7</v>
      </c>
      <c r="F663" s="4" t="s">
        <v>9</v>
      </c>
      <c r="G663" s="20">
        <v>0.91</v>
      </c>
      <c r="H663" s="20">
        <v>0.22</v>
      </c>
      <c r="I663" s="20">
        <v>0.12012</v>
      </c>
      <c r="J663" s="20">
        <v>0.43862000000000007</v>
      </c>
    </row>
    <row r="664" spans="1:10" x14ac:dyDescent="0.25">
      <c r="A664" s="3" t="s">
        <v>43</v>
      </c>
      <c r="B664" s="3" t="s">
        <v>44</v>
      </c>
      <c r="C664" s="4">
        <v>289</v>
      </c>
      <c r="D664" s="5">
        <v>42151</v>
      </c>
      <c r="E664" s="3" t="s">
        <v>7</v>
      </c>
      <c r="F664" s="4" t="s">
        <v>9</v>
      </c>
      <c r="G664" s="20">
        <v>1.23</v>
      </c>
      <c r="H664" s="20">
        <v>0.22</v>
      </c>
      <c r="I664" s="20">
        <v>0.24723000000000001</v>
      </c>
      <c r="J664" s="20">
        <v>0.53012999999999999</v>
      </c>
    </row>
    <row r="665" spans="1:10" x14ac:dyDescent="0.25">
      <c r="A665" s="3" t="s">
        <v>43</v>
      </c>
      <c r="B665" s="3" t="s">
        <v>44</v>
      </c>
      <c r="C665" s="4">
        <v>395</v>
      </c>
      <c r="D665" s="5">
        <v>42163</v>
      </c>
      <c r="E665" s="3" t="s">
        <v>7</v>
      </c>
      <c r="F665" s="4" t="s">
        <v>8</v>
      </c>
      <c r="G665" s="20">
        <v>2.71</v>
      </c>
      <c r="H665" s="20">
        <v>0.49</v>
      </c>
      <c r="I665" s="20">
        <v>1.04335</v>
      </c>
      <c r="J665" s="20">
        <v>0.78048000000000006</v>
      </c>
    </row>
    <row r="666" spans="1:10" x14ac:dyDescent="0.25">
      <c r="A666" s="3" t="s">
        <v>43</v>
      </c>
      <c r="B666" s="3" t="s">
        <v>44</v>
      </c>
      <c r="C666" s="4">
        <v>396</v>
      </c>
      <c r="D666" s="5">
        <v>42163</v>
      </c>
      <c r="E666" s="3" t="s">
        <v>7</v>
      </c>
      <c r="F666" s="4" t="s">
        <v>11</v>
      </c>
      <c r="G666" s="20">
        <v>4.82</v>
      </c>
      <c r="H666" s="20">
        <v>0.9</v>
      </c>
      <c r="I666" s="20">
        <v>2.2509400000000004</v>
      </c>
      <c r="J666" s="20">
        <v>1.5327600000000001</v>
      </c>
    </row>
    <row r="667" spans="1:10" x14ac:dyDescent="0.25">
      <c r="A667" s="3" t="s">
        <v>43</v>
      </c>
      <c r="B667" s="3" t="s">
        <v>44</v>
      </c>
      <c r="C667" s="4">
        <v>514</v>
      </c>
      <c r="D667" s="5">
        <v>42163</v>
      </c>
      <c r="E667" s="3" t="s">
        <v>10</v>
      </c>
      <c r="F667" s="4" t="s">
        <v>8</v>
      </c>
      <c r="G667" s="20">
        <v>2.66</v>
      </c>
      <c r="H667" s="20">
        <v>1.1499999999999999</v>
      </c>
      <c r="I667" s="20">
        <v>0.86184000000000005</v>
      </c>
      <c r="J667" s="20">
        <v>0.80332000000000003</v>
      </c>
    </row>
    <row r="668" spans="1:10" x14ac:dyDescent="0.25">
      <c r="A668" s="3" t="s">
        <v>43</v>
      </c>
      <c r="B668" s="3" t="s">
        <v>44</v>
      </c>
      <c r="C668" s="4">
        <v>515</v>
      </c>
      <c r="D668" s="5">
        <v>42163</v>
      </c>
      <c r="E668" s="3" t="s">
        <v>10</v>
      </c>
      <c r="F668" s="4" t="s">
        <v>11</v>
      </c>
      <c r="G668" s="20">
        <v>2.09</v>
      </c>
      <c r="H668" s="20">
        <v>0.72</v>
      </c>
      <c r="I668" s="20">
        <v>0.86107999999999996</v>
      </c>
      <c r="J668" s="20">
        <v>0.47233999999999998</v>
      </c>
    </row>
    <row r="669" spans="1:10" x14ac:dyDescent="0.25">
      <c r="A669" s="3" t="s">
        <v>43</v>
      </c>
      <c r="B669" s="3" t="s">
        <v>44</v>
      </c>
      <c r="C669" s="4">
        <v>516</v>
      </c>
      <c r="D669" s="5">
        <v>42163</v>
      </c>
      <c r="E669" s="3" t="s">
        <v>7</v>
      </c>
      <c r="F669" s="4" t="s">
        <v>11</v>
      </c>
      <c r="G669" s="20">
        <v>3.17</v>
      </c>
      <c r="H669" s="20">
        <v>0.99</v>
      </c>
      <c r="I669" s="20">
        <v>0.99220999999999993</v>
      </c>
      <c r="J669" s="20">
        <v>1.2236199999999999</v>
      </c>
    </row>
    <row r="670" spans="1:10" x14ac:dyDescent="0.25">
      <c r="A670" s="3" t="s">
        <v>43</v>
      </c>
      <c r="B670" s="3" t="s">
        <v>44</v>
      </c>
      <c r="C670" s="4">
        <v>517</v>
      </c>
      <c r="D670" s="5">
        <v>42163</v>
      </c>
      <c r="E670" s="3" t="s">
        <v>7</v>
      </c>
      <c r="F670" s="4" t="s">
        <v>11</v>
      </c>
      <c r="G670" s="20">
        <v>3.81</v>
      </c>
      <c r="H670" s="20">
        <v>0.75</v>
      </c>
      <c r="I670" s="20">
        <v>1.24587</v>
      </c>
      <c r="J670" s="20">
        <v>1.50495</v>
      </c>
    </row>
    <row r="671" spans="1:10" x14ac:dyDescent="0.25">
      <c r="A671" s="3" t="s">
        <v>43</v>
      </c>
      <c r="B671" s="3" t="s">
        <v>44</v>
      </c>
      <c r="C671" s="4">
        <v>543</v>
      </c>
      <c r="D671" s="5">
        <v>42174</v>
      </c>
      <c r="E671" s="3" t="s">
        <v>7</v>
      </c>
      <c r="F671" s="4" t="s">
        <v>11</v>
      </c>
      <c r="G671" s="20">
        <v>2.57</v>
      </c>
      <c r="H671" s="20">
        <v>0.4</v>
      </c>
      <c r="I671" s="20">
        <v>0.73758999999999986</v>
      </c>
      <c r="J671" s="20">
        <v>0.98173999999999995</v>
      </c>
    </row>
    <row r="672" spans="1:10" x14ac:dyDescent="0.25">
      <c r="A672" s="3" t="s">
        <v>43</v>
      </c>
      <c r="B672" s="3" t="s">
        <v>44</v>
      </c>
      <c r="C672" s="4">
        <v>544</v>
      </c>
      <c r="D672" s="5">
        <v>42174</v>
      </c>
      <c r="E672" s="3" t="s">
        <v>10</v>
      </c>
      <c r="F672" s="4" t="s">
        <v>8</v>
      </c>
      <c r="G672" s="20">
        <v>1.35</v>
      </c>
      <c r="H672" s="20">
        <v>0.37</v>
      </c>
      <c r="I672" s="20">
        <v>0.17820000000000003</v>
      </c>
      <c r="J672" s="20">
        <v>0.58995000000000009</v>
      </c>
    </row>
    <row r="673" spans="1:10" x14ac:dyDescent="0.25">
      <c r="A673" s="3" t="s">
        <v>43</v>
      </c>
      <c r="B673" s="3" t="s">
        <v>44</v>
      </c>
      <c r="C673" s="4">
        <v>545</v>
      </c>
      <c r="D673" s="5">
        <v>42174</v>
      </c>
      <c r="E673" s="3" t="s">
        <v>10</v>
      </c>
      <c r="F673" s="4" t="s">
        <v>11</v>
      </c>
      <c r="G673" s="20">
        <v>2.69</v>
      </c>
      <c r="H673" s="20">
        <v>0.54</v>
      </c>
      <c r="I673" s="20">
        <v>0.76127000000000011</v>
      </c>
      <c r="J673" s="20">
        <v>1.1271099999999998</v>
      </c>
    </row>
    <row r="674" spans="1:10" x14ac:dyDescent="0.25">
      <c r="A674" s="3" t="s">
        <v>43</v>
      </c>
      <c r="B674" s="3" t="s">
        <v>44</v>
      </c>
      <c r="C674" s="4">
        <v>714</v>
      </c>
      <c r="D674" s="5">
        <v>42360</v>
      </c>
      <c r="E674" s="3" t="s">
        <v>7</v>
      </c>
      <c r="F674" s="4" t="s">
        <v>11</v>
      </c>
      <c r="G674" s="24">
        <v>2.71</v>
      </c>
      <c r="H674" s="24">
        <v>0.83</v>
      </c>
      <c r="I674" s="20">
        <v>0.33604000000000001</v>
      </c>
      <c r="J674" s="20">
        <v>0.30893999999999999</v>
      </c>
    </row>
    <row r="675" spans="1:10" x14ac:dyDescent="0.25">
      <c r="A675" s="3" t="s">
        <v>43</v>
      </c>
      <c r="B675" s="3" t="s">
        <v>44</v>
      </c>
      <c r="C675" s="4">
        <v>715</v>
      </c>
      <c r="D675" s="5">
        <v>42360</v>
      </c>
      <c r="E675" s="3" t="s">
        <v>7</v>
      </c>
      <c r="F675" s="4" t="s">
        <v>11</v>
      </c>
      <c r="G675" s="24">
        <v>2.36</v>
      </c>
      <c r="H675" s="24">
        <v>0.34</v>
      </c>
      <c r="I675" s="20">
        <v>0.25723999999999997</v>
      </c>
      <c r="J675" s="20">
        <v>0.44131999999999999</v>
      </c>
    </row>
    <row r="676" spans="1:10" x14ac:dyDescent="0.25">
      <c r="A676" s="3" t="s">
        <v>43</v>
      </c>
      <c r="B676" s="3" t="s">
        <v>44</v>
      </c>
      <c r="C676" s="4">
        <v>716</v>
      </c>
      <c r="D676" s="5">
        <v>42360</v>
      </c>
      <c r="E676" s="3" t="s">
        <v>10</v>
      </c>
      <c r="F676" s="4" t="s">
        <v>11</v>
      </c>
      <c r="G676" s="24">
        <v>3.57</v>
      </c>
      <c r="H676" s="24">
        <v>0.55000000000000004</v>
      </c>
      <c r="I676" s="20">
        <v>0.95318999999999998</v>
      </c>
      <c r="J676" s="20">
        <v>0.76040999999999992</v>
      </c>
    </row>
    <row r="677" spans="1:10" x14ac:dyDescent="0.25">
      <c r="A677" s="3" t="s">
        <v>43</v>
      </c>
      <c r="B677" s="3" t="s">
        <v>44</v>
      </c>
      <c r="C677" s="4">
        <v>719</v>
      </c>
      <c r="D677" s="5">
        <v>42186</v>
      </c>
      <c r="E677" s="3" t="s">
        <v>7</v>
      </c>
      <c r="F677" s="4" t="s">
        <v>8</v>
      </c>
      <c r="G677" s="20">
        <v>4.5999999999999996</v>
      </c>
      <c r="H677" s="20">
        <v>0.68</v>
      </c>
      <c r="I677" s="20">
        <v>1.8859999999999997</v>
      </c>
      <c r="J677" s="20">
        <v>1.4627999999999999</v>
      </c>
    </row>
    <row r="678" spans="1:10" x14ac:dyDescent="0.25">
      <c r="A678" s="3" t="s">
        <v>43</v>
      </c>
      <c r="B678" s="3" t="s">
        <v>44</v>
      </c>
      <c r="C678" s="4">
        <v>720</v>
      </c>
      <c r="D678" s="5">
        <v>42186</v>
      </c>
      <c r="E678" s="3" t="s">
        <v>7</v>
      </c>
      <c r="F678" s="4" t="s">
        <v>11</v>
      </c>
      <c r="G678" s="20">
        <v>2.5</v>
      </c>
      <c r="H678" s="20">
        <v>0.28000000000000003</v>
      </c>
      <c r="I678" s="20">
        <v>0.99</v>
      </c>
      <c r="J678" s="20">
        <v>0.85250000000000004</v>
      </c>
    </row>
    <row r="679" spans="1:10" x14ac:dyDescent="0.25">
      <c r="A679" s="3" t="s">
        <v>43</v>
      </c>
      <c r="B679" s="3" t="s">
        <v>44</v>
      </c>
      <c r="C679" s="4">
        <v>721</v>
      </c>
      <c r="D679" s="5">
        <v>42186</v>
      </c>
      <c r="E679" s="3" t="s">
        <v>7</v>
      </c>
      <c r="F679" s="4" t="s">
        <v>11</v>
      </c>
      <c r="G679" s="20">
        <v>3.35</v>
      </c>
      <c r="H679" s="20">
        <v>0.45</v>
      </c>
      <c r="I679" s="20">
        <v>1.53095</v>
      </c>
      <c r="J679" s="20">
        <v>0.93800000000000017</v>
      </c>
    </row>
    <row r="680" spans="1:10" x14ac:dyDescent="0.25">
      <c r="A680" s="3" t="s">
        <v>43</v>
      </c>
      <c r="B680" s="3" t="s">
        <v>44</v>
      </c>
      <c r="C680" s="4">
        <v>722</v>
      </c>
      <c r="D680" s="5">
        <v>42186</v>
      </c>
      <c r="E680" s="3" t="s">
        <v>10</v>
      </c>
      <c r="F680" s="4" t="s">
        <v>11</v>
      </c>
      <c r="G680" s="20">
        <v>2.56</v>
      </c>
      <c r="H680" s="20">
        <v>0.39</v>
      </c>
      <c r="I680" s="20">
        <v>0.66304000000000007</v>
      </c>
      <c r="J680" s="20">
        <v>1.1033600000000001</v>
      </c>
    </row>
    <row r="681" spans="1:10" x14ac:dyDescent="0.25">
      <c r="A681" s="3" t="s">
        <v>43</v>
      </c>
      <c r="B681" s="3" t="s">
        <v>44</v>
      </c>
      <c r="C681" s="4">
        <v>765</v>
      </c>
      <c r="D681" s="5">
        <v>42213</v>
      </c>
      <c r="E681" s="3" t="s">
        <v>7</v>
      </c>
      <c r="F681" s="4" t="s">
        <v>8</v>
      </c>
      <c r="G681" s="20">
        <v>1.78</v>
      </c>
      <c r="H681" s="20">
        <v>0.25</v>
      </c>
      <c r="I681" s="20">
        <v>0.46280000000000004</v>
      </c>
      <c r="J681" s="20">
        <v>0.60520000000000007</v>
      </c>
    </row>
    <row r="682" spans="1:10" x14ac:dyDescent="0.25">
      <c r="A682" s="3" t="s">
        <v>43</v>
      </c>
      <c r="B682" s="3" t="s">
        <v>44</v>
      </c>
      <c r="C682" s="4">
        <v>766</v>
      </c>
      <c r="D682" s="5">
        <v>42213</v>
      </c>
      <c r="E682" s="3" t="s">
        <v>7</v>
      </c>
      <c r="F682" s="4" t="s">
        <v>11</v>
      </c>
      <c r="G682" s="20">
        <v>1.71</v>
      </c>
      <c r="H682" s="20">
        <v>0.13</v>
      </c>
      <c r="I682" s="20">
        <v>0.53522999999999998</v>
      </c>
      <c r="J682" s="20">
        <v>0.65322000000000002</v>
      </c>
    </row>
    <row r="683" spans="1:10" x14ac:dyDescent="0.25">
      <c r="A683" s="3" t="s">
        <v>43</v>
      </c>
      <c r="B683" s="3" t="s">
        <v>44</v>
      </c>
      <c r="C683" s="4">
        <v>767</v>
      </c>
      <c r="D683" s="5">
        <v>42213</v>
      </c>
      <c r="E683" s="3" t="s">
        <v>7</v>
      </c>
      <c r="F683" s="4" t="s">
        <v>11</v>
      </c>
      <c r="G683" s="20">
        <v>1.24</v>
      </c>
      <c r="H683" s="20">
        <v>0.32</v>
      </c>
      <c r="I683" s="20">
        <v>0.29264000000000001</v>
      </c>
      <c r="J683" s="20">
        <v>0.45879999999999999</v>
      </c>
    </row>
    <row r="684" spans="1:10" x14ac:dyDescent="0.25">
      <c r="A684" s="3" t="s">
        <v>43</v>
      </c>
      <c r="B684" s="3" t="s">
        <v>44</v>
      </c>
      <c r="C684" s="4">
        <v>768</v>
      </c>
      <c r="D684" s="5">
        <v>42213</v>
      </c>
      <c r="E684" s="3" t="s">
        <v>7</v>
      </c>
      <c r="F684" s="4" t="s">
        <v>9</v>
      </c>
      <c r="G684" s="20">
        <v>1.72</v>
      </c>
      <c r="H684" s="20">
        <v>0.1</v>
      </c>
      <c r="I684" s="20">
        <v>0.55555999999999994</v>
      </c>
      <c r="J684" s="20">
        <v>0.70519999999999994</v>
      </c>
    </row>
    <row r="685" spans="1:10" x14ac:dyDescent="0.25">
      <c r="A685" s="3" t="s">
        <v>43</v>
      </c>
      <c r="B685" s="3" t="s">
        <v>44</v>
      </c>
      <c r="C685" s="4">
        <v>906</v>
      </c>
      <c r="D685" s="5">
        <v>42339</v>
      </c>
      <c r="E685" s="3" t="s">
        <v>10</v>
      </c>
      <c r="F685" s="4" t="s">
        <v>8</v>
      </c>
      <c r="G685" s="20">
        <v>2.0299999999999998</v>
      </c>
      <c r="H685" s="20">
        <v>0.15</v>
      </c>
      <c r="I685" s="20">
        <v>0.34712999999999999</v>
      </c>
      <c r="J685" s="20">
        <v>0.37758000000000003</v>
      </c>
    </row>
    <row r="686" spans="1:10" x14ac:dyDescent="0.25">
      <c r="A686" s="3" t="s">
        <v>43</v>
      </c>
      <c r="B686" s="3" t="s">
        <v>44</v>
      </c>
      <c r="C686" s="4">
        <v>907</v>
      </c>
      <c r="D686" s="5">
        <v>42339</v>
      </c>
      <c r="E686" s="3" t="s">
        <v>10</v>
      </c>
      <c r="F686" s="4" t="s">
        <v>11</v>
      </c>
      <c r="G686" s="20">
        <v>3.32</v>
      </c>
      <c r="H686" s="20">
        <v>0.24</v>
      </c>
      <c r="I686" s="20">
        <v>0.76359999999999995</v>
      </c>
      <c r="J686" s="20">
        <v>0.79347999999999996</v>
      </c>
    </row>
    <row r="687" spans="1:10" x14ac:dyDescent="0.25">
      <c r="A687" s="3" t="s">
        <v>45</v>
      </c>
      <c r="B687" s="3" t="s">
        <v>46</v>
      </c>
      <c r="C687" s="4">
        <v>74</v>
      </c>
      <c r="D687" s="5">
        <v>42080</v>
      </c>
      <c r="E687" s="3" t="s">
        <v>7</v>
      </c>
      <c r="F687" s="4" t="s">
        <v>8</v>
      </c>
      <c r="G687" s="20">
        <v>3.71</v>
      </c>
      <c r="H687" s="20">
        <v>0.42</v>
      </c>
      <c r="I687" s="20">
        <v>1.53223</v>
      </c>
      <c r="J687" s="20">
        <v>0.70860999999999996</v>
      </c>
    </row>
  </sheetData>
  <autoFilter ref="F1:F687"/>
  <mergeCells count="4">
    <mergeCell ref="Y1:AA1"/>
    <mergeCell ref="S27:V27"/>
    <mergeCell ref="S1:V1"/>
    <mergeCell ref="S14:V14"/>
  </mergeCells>
  <conditionalFormatting sqref="AD3:AK14">
    <cfRule type="cellIs" dxfId="3" priority="2" operator="greaterThan">
      <formula>0.6</formula>
    </cfRule>
  </conditionalFormatting>
  <conditionalFormatting sqref="AC35:AK42">
    <cfRule type="cellIs" dxfId="2" priority="1" operator="greaterThan">
      <formula>0.6</formula>
    </cfRule>
  </conditionalFormatting>
  <pageMargins left="0.75" right="0.75" top="1" bottom="1" header="0.5" footer="0.5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Lawrence Berkeley National Laboratory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Snijders</dc:creator>
  <cp:lastModifiedBy>Costes, Sylvain V. (ARC-SCR)</cp:lastModifiedBy>
  <dcterms:created xsi:type="dcterms:W3CDTF">2016-03-16T23:43:37Z</dcterms:created>
  <dcterms:modified xsi:type="dcterms:W3CDTF">2019-10-09T22:57:00Z</dcterms:modified>
</cp:coreProperties>
</file>