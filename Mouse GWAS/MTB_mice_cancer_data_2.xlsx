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0"/>
  <workbookPr/>
  <mc:AlternateContent xmlns:mc="http://schemas.openxmlformats.org/markup-compatibility/2006">
    <mc:Choice Requires="x15">
      <x15ac:absPath xmlns:x15ac="http://schemas.microsoft.com/office/spreadsheetml/2010/11/ac" url="/Users/alopezm1/Documents/Mouse GWAS/"/>
    </mc:Choice>
  </mc:AlternateContent>
  <xr:revisionPtr revIDLastSave="0" documentId="13_ncr:1_{852F1828-90D2-6644-848F-8440AD4831EB}" xr6:coauthVersionLast="36" xr6:coauthVersionMax="36" xr10:uidLastSave="{00000000-0000-0000-0000-000000000000}"/>
  <bookViews>
    <workbookView xWindow="12980" yWindow="1580" windowWidth="18780" windowHeight="15860" activeTab="7" xr2:uid="{00000000-000D-0000-FFFF-FFFF00000000}"/>
  </bookViews>
  <sheets>
    <sheet name="Sheet1" sheetId="1" r:id="rId1"/>
    <sheet name="Sheet3" sheetId="3" r:id="rId2"/>
    <sheet name="B6C3F1" sheetId="2" r:id="rId3"/>
    <sheet name="BALB cByJ" sheetId="7" r:id="rId4"/>
    <sheet name="CBA" sheetId="10" r:id="rId5"/>
    <sheet name="C3H" sheetId="12" r:id="rId6"/>
    <sheet name="C57BL6J" sheetId="18" r:id="rId7"/>
    <sheet name="Summary" sheetId="8" r:id="rId8"/>
    <sheet name="Summary_without C3H" sheetId="19" r:id="rId9"/>
  </sheets>
  <definedNames>
    <definedName name="_xlnm._FilterDatabase" localSheetId="4" hidden="1">CBA!$M$2:$Q$56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7" l="1"/>
  <c r="C13" i="8"/>
  <c r="B13" i="8"/>
  <c r="D13" i="8"/>
  <c r="E13" i="8"/>
  <c r="O13" i="8"/>
  <c r="B4" i="1"/>
  <c r="C4" i="1"/>
  <c r="D4" i="1"/>
  <c r="E4" i="1"/>
  <c r="F4" i="1"/>
  <c r="H4" i="1"/>
  <c r="I4" i="1"/>
  <c r="K4" i="1"/>
  <c r="L4" i="1"/>
  <c r="N4" i="1"/>
  <c r="P4" i="1"/>
  <c r="Q4" i="1"/>
  <c r="R4" i="1"/>
  <c r="S4" i="1"/>
  <c r="T4" i="1"/>
  <c r="U4" i="1"/>
  <c r="V4" i="1"/>
  <c r="W4" i="1"/>
  <c r="Y4" i="1"/>
  <c r="AA4" i="1"/>
  <c r="AE4" i="1"/>
  <c r="AF4" i="1"/>
  <c r="AI4" i="1"/>
  <c r="AJ4" i="1"/>
  <c r="AK4" i="1"/>
  <c r="AL4" i="1"/>
  <c r="AM4" i="1"/>
  <c r="AO4" i="1"/>
  <c r="AQ4" i="1"/>
  <c r="AR4" i="1"/>
  <c r="AS4" i="1"/>
  <c r="AT4" i="1"/>
  <c r="AU4" i="1"/>
  <c r="AV4" i="1"/>
  <c r="AW4" i="1"/>
  <c r="AX4" i="1"/>
  <c r="AZ4" i="1"/>
  <c r="BA4" i="1"/>
  <c r="BC4" i="1"/>
  <c r="BE4" i="1"/>
  <c r="I45" i="10"/>
  <c r="D45" i="19"/>
  <c r="H46" i="2"/>
  <c r="B45" i="19"/>
  <c r="I44" i="10"/>
  <c r="D44" i="19"/>
  <c r="H45" i="2"/>
  <c r="B44" i="19"/>
  <c r="I43" i="10"/>
  <c r="D43" i="19"/>
  <c r="H44" i="2"/>
  <c r="B43" i="19"/>
  <c r="I42" i="10"/>
  <c r="D42" i="19"/>
  <c r="H43" i="2"/>
  <c r="B42" i="19"/>
  <c r="I41" i="10"/>
  <c r="D41" i="19"/>
  <c r="H42" i="2"/>
  <c r="B41" i="19"/>
  <c r="I40" i="10"/>
  <c r="D40" i="19"/>
  <c r="H41" i="2"/>
  <c r="B40" i="19"/>
  <c r="I39" i="10"/>
  <c r="D39" i="19"/>
  <c r="H40" i="2"/>
  <c r="B39" i="19"/>
  <c r="I38" i="10"/>
  <c r="D38" i="19"/>
  <c r="H39" i="2"/>
  <c r="B38" i="19"/>
  <c r="I37" i="10"/>
  <c r="D37" i="19"/>
  <c r="H38" i="2"/>
  <c r="B37" i="19"/>
  <c r="I36" i="10"/>
  <c r="D36" i="19"/>
  <c r="H37" i="2"/>
  <c r="B36" i="19"/>
  <c r="I35" i="10"/>
  <c r="D35" i="19"/>
  <c r="H36" i="2"/>
  <c r="B35" i="19"/>
  <c r="I34" i="10"/>
  <c r="D34" i="19"/>
  <c r="H35" i="2"/>
  <c r="B34" i="19"/>
  <c r="I33" i="10"/>
  <c r="D33" i="19"/>
  <c r="H34" i="2"/>
  <c r="B33" i="19"/>
  <c r="I32" i="10"/>
  <c r="D32" i="19"/>
  <c r="H33" i="2"/>
  <c r="B32" i="19"/>
  <c r="I31" i="10"/>
  <c r="D31" i="19"/>
  <c r="H32" i="2"/>
  <c r="B31" i="19"/>
  <c r="I30" i="10"/>
  <c r="D30" i="19"/>
  <c r="H31" i="2"/>
  <c r="B30" i="19"/>
  <c r="I29" i="10"/>
  <c r="D29" i="19"/>
  <c r="H30" i="2"/>
  <c r="B29" i="19"/>
  <c r="I28" i="10"/>
  <c r="D28" i="19"/>
  <c r="H29" i="2"/>
  <c r="B28" i="19"/>
  <c r="I27" i="10"/>
  <c r="D27" i="19"/>
  <c r="H28" i="2"/>
  <c r="B27" i="19"/>
  <c r="I26" i="10"/>
  <c r="D26" i="19"/>
  <c r="H27" i="2"/>
  <c r="B26" i="19"/>
  <c r="I25" i="10"/>
  <c r="D25" i="19"/>
  <c r="H26" i="2"/>
  <c r="B25" i="19"/>
  <c r="I24" i="10"/>
  <c r="D24" i="19"/>
  <c r="H25" i="2"/>
  <c r="B24" i="19"/>
  <c r="I23" i="10"/>
  <c r="D23" i="19"/>
  <c r="H24" i="2"/>
  <c r="B23" i="19"/>
  <c r="I22" i="10"/>
  <c r="D22" i="19"/>
  <c r="H23" i="2"/>
  <c r="B22" i="19"/>
  <c r="I21" i="10"/>
  <c r="D21" i="19"/>
  <c r="H22" i="2"/>
  <c r="B21" i="19"/>
  <c r="I20" i="10"/>
  <c r="D20" i="19"/>
  <c r="H21" i="2"/>
  <c r="B20" i="19"/>
  <c r="I19" i="10"/>
  <c r="D19" i="19"/>
  <c r="H20" i="2"/>
  <c r="B19" i="19"/>
  <c r="I18" i="10"/>
  <c r="D18" i="19"/>
  <c r="H19" i="2"/>
  <c r="B18" i="19"/>
  <c r="I17" i="10"/>
  <c r="D17" i="19"/>
  <c r="H18" i="2"/>
  <c r="B17" i="19"/>
  <c r="I16" i="10"/>
  <c r="D16" i="19"/>
  <c r="H17" i="2"/>
  <c r="B16" i="19"/>
  <c r="I15" i="10"/>
  <c r="D15" i="19"/>
  <c r="H16" i="2"/>
  <c r="B15" i="19"/>
  <c r="I14" i="10"/>
  <c r="D14" i="19"/>
  <c r="H15" i="2"/>
  <c r="B14" i="19"/>
  <c r="I13" i="10"/>
  <c r="D13" i="19"/>
  <c r="H14" i="2"/>
  <c r="B13" i="19"/>
  <c r="I12" i="10"/>
  <c r="D12" i="19"/>
  <c r="H13" i="2"/>
  <c r="B12" i="19"/>
  <c r="I11" i="10"/>
  <c r="D11" i="19"/>
  <c r="H12" i="2"/>
  <c r="B11" i="19"/>
  <c r="I10" i="10"/>
  <c r="D10" i="19"/>
  <c r="H11" i="2"/>
  <c r="B10" i="19"/>
  <c r="I9" i="10"/>
  <c r="D9" i="19"/>
  <c r="H10" i="2"/>
  <c r="B9" i="19"/>
  <c r="I8" i="10"/>
  <c r="D8" i="19"/>
  <c r="H9" i="2"/>
  <c r="B8" i="19"/>
  <c r="I7" i="10"/>
  <c r="D7" i="19"/>
  <c r="H8" i="2"/>
  <c r="B7" i="19"/>
  <c r="I6" i="10"/>
  <c r="D6" i="19"/>
  <c r="H7" i="2"/>
  <c r="B6" i="19"/>
  <c r="I5" i="10"/>
  <c r="D5" i="19"/>
  <c r="H6" i="2"/>
  <c r="B5" i="19"/>
  <c r="I4" i="10"/>
  <c r="D4" i="19"/>
  <c r="H5" i="2"/>
  <c r="B4" i="19"/>
  <c r="I3" i="10"/>
  <c r="D3" i="19"/>
  <c r="H4" i="2"/>
  <c r="B3" i="19"/>
  <c r="I2" i="10"/>
  <c r="D2" i="19"/>
  <c r="H3" i="2"/>
  <c r="B2" i="19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E23" i="8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2" i="12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2" i="18"/>
  <c r="I2" i="7"/>
  <c r="C2" i="19"/>
  <c r="I3" i="7"/>
  <c r="C3" i="19"/>
  <c r="I4" i="7"/>
  <c r="C4" i="19"/>
  <c r="I5" i="7"/>
  <c r="C5" i="19"/>
  <c r="F5" i="19"/>
  <c r="I6" i="7"/>
  <c r="C6" i="19"/>
  <c r="F6" i="19"/>
  <c r="I7" i="7"/>
  <c r="C7" i="19"/>
  <c r="F7" i="19"/>
  <c r="I8" i="7"/>
  <c r="C8" i="19"/>
  <c r="F8" i="19"/>
  <c r="I9" i="7"/>
  <c r="C9" i="19"/>
  <c r="F9" i="19"/>
  <c r="I10" i="7"/>
  <c r="C10" i="19"/>
  <c r="F10" i="19"/>
  <c r="I11" i="7"/>
  <c r="C11" i="19"/>
  <c r="C12" i="19"/>
  <c r="I13" i="7"/>
  <c r="C13" i="19"/>
  <c r="F13" i="19"/>
  <c r="I14" i="7"/>
  <c r="C14" i="19"/>
  <c r="F14" i="19"/>
  <c r="I15" i="7"/>
  <c r="C15" i="19"/>
  <c r="F15" i="19"/>
  <c r="I16" i="7"/>
  <c r="C16" i="19"/>
  <c r="F16" i="19"/>
  <c r="I17" i="7"/>
  <c r="C17" i="19"/>
  <c r="I18" i="7"/>
  <c r="C18" i="19"/>
  <c r="I19" i="7"/>
  <c r="I20" i="7"/>
  <c r="C20" i="19"/>
  <c r="I21" i="7"/>
  <c r="C21" i="19"/>
  <c r="F21" i="19"/>
  <c r="I22" i="7"/>
  <c r="C22" i="19"/>
  <c r="I23" i="7"/>
  <c r="C23" i="19"/>
  <c r="F23" i="19"/>
  <c r="I24" i="7"/>
  <c r="C24" i="19"/>
  <c r="F24" i="19"/>
  <c r="I25" i="7"/>
  <c r="C25" i="19"/>
  <c r="F25" i="19"/>
  <c r="I26" i="7"/>
  <c r="C26" i="19"/>
  <c r="F26" i="19"/>
  <c r="I27" i="7"/>
  <c r="C27" i="19"/>
  <c r="F27" i="19"/>
  <c r="I28" i="7"/>
  <c r="C28" i="19"/>
  <c r="I29" i="7"/>
  <c r="C29" i="19"/>
  <c r="I30" i="7"/>
  <c r="C30" i="19"/>
  <c r="F30" i="19"/>
  <c r="I31" i="7"/>
  <c r="C31" i="19"/>
  <c r="F31" i="19"/>
  <c r="I32" i="7"/>
  <c r="C32" i="19"/>
  <c r="F32" i="19"/>
  <c r="I33" i="7"/>
  <c r="C33" i="19"/>
  <c r="F33" i="19"/>
  <c r="I34" i="7"/>
  <c r="C34" i="19"/>
  <c r="F34" i="19"/>
  <c r="I35" i="7"/>
  <c r="C35" i="19"/>
  <c r="F35" i="19"/>
  <c r="I36" i="7"/>
  <c r="C36" i="19"/>
  <c r="F36" i="19"/>
  <c r="I37" i="7"/>
  <c r="C37" i="19"/>
  <c r="I38" i="7"/>
  <c r="C38" i="19"/>
  <c r="F38" i="19"/>
  <c r="I39" i="7"/>
  <c r="C39" i="19"/>
  <c r="F39" i="19"/>
  <c r="I40" i="7"/>
  <c r="C40" i="19"/>
  <c r="F40" i="19"/>
  <c r="I41" i="7"/>
  <c r="C41" i="19"/>
  <c r="I42" i="7"/>
  <c r="C42" i="19"/>
  <c r="F42" i="19"/>
  <c r="I43" i="7"/>
  <c r="C43" i="19"/>
  <c r="F43" i="19"/>
  <c r="I44" i="7"/>
  <c r="C44" i="19"/>
  <c r="I45" i="7"/>
  <c r="C45" i="19"/>
  <c r="F45" i="19"/>
  <c r="E4" i="8"/>
  <c r="E6" i="8"/>
  <c r="E10" i="8"/>
  <c r="E12" i="8"/>
  <c r="E14" i="8"/>
  <c r="E16" i="8"/>
  <c r="E18" i="8"/>
  <c r="E20" i="8"/>
  <c r="E22" i="8"/>
  <c r="E26" i="8"/>
  <c r="E28" i="8"/>
  <c r="E30" i="8"/>
  <c r="E32" i="8"/>
  <c r="E34" i="8"/>
  <c r="E38" i="8"/>
  <c r="E41" i="8"/>
  <c r="E44" i="8"/>
  <c r="E46" i="8"/>
  <c r="E48" i="8"/>
  <c r="B48" i="8"/>
  <c r="B47" i="8"/>
  <c r="B46" i="8"/>
  <c r="B45" i="8"/>
  <c r="B44" i="8"/>
  <c r="B43" i="8"/>
  <c r="B41" i="8"/>
  <c r="B40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2" i="8"/>
  <c r="B11" i="8"/>
  <c r="B10" i="8"/>
  <c r="B9" i="8"/>
  <c r="B8" i="8"/>
  <c r="B7" i="8"/>
  <c r="B6" i="8"/>
  <c r="B5" i="8"/>
  <c r="B4" i="8"/>
  <c r="B3" i="8"/>
  <c r="E35" i="8"/>
  <c r="E36" i="8"/>
  <c r="E37" i="8"/>
  <c r="E40" i="8"/>
  <c r="E43" i="8"/>
  <c r="E45" i="8"/>
  <c r="E47" i="8"/>
  <c r="E3" i="8"/>
  <c r="E5" i="8"/>
  <c r="E7" i="8"/>
  <c r="E8" i="8"/>
  <c r="E9" i="8"/>
  <c r="E11" i="8"/>
  <c r="E15" i="8"/>
  <c r="E17" i="8"/>
  <c r="E19" i="8"/>
  <c r="E21" i="8"/>
  <c r="E24" i="8"/>
  <c r="E25" i="8"/>
  <c r="E27" i="8"/>
  <c r="E29" i="8"/>
  <c r="E31" i="8"/>
  <c r="E33" i="8"/>
  <c r="D3" i="8"/>
  <c r="I40" i="19"/>
  <c r="I16" i="19"/>
  <c r="I5" i="19"/>
  <c r="I39" i="19"/>
  <c r="I27" i="19"/>
  <c r="I15" i="19"/>
  <c r="I38" i="19"/>
  <c r="I26" i="19"/>
  <c r="I14" i="19"/>
  <c r="I25" i="19"/>
  <c r="I13" i="19"/>
  <c r="I36" i="19"/>
  <c r="I24" i="19"/>
  <c r="I35" i="19"/>
  <c r="I23" i="19"/>
  <c r="I34" i="19"/>
  <c r="I10" i="19"/>
  <c r="I45" i="19"/>
  <c r="I33" i="19"/>
  <c r="I21" i="19"/>
  <c r="I9" i="19"/>
  <c r="I32" i="19"/>
  <c r="I8" i="19"/>
  <c r="I43" i="19"/>
  <c r="I31" i="19"/>
  <c r="I7" i="19"/>
  <c r="I42" i="19"/>
  <c r="I30" i="19"/>
  <c r="I6" i="19"/>
  <c r="J40" i="19"/>
  <c r="J16" i="19"/>
  <c r="J42" i="19"/>
  <c r="J38" i="19"/>
  <c r="J26" i="19"/>
  <c r="J14" i="19"/>
  <c r="J39" i="19"/>
  <c r="J25" i="19"/>
  <c r="J13" i="19"/>
  <c r="J36" i="19"/>
  <c r="J24" i="19"/>
  <c r="J5" i="19"/>
  <c r="J35" i="19"/>
  <c r="J15" i="19"/>
  <c r="J23" i="19"/>
  <c r="J34" i="19"/>
  <c r="J10" i="19"/>
  <c r="J27" i="19"/>
  <c r="J33" i="19"/>
  <c r="J21" i="19"/>
  <c r="J9" i="19"/>
  <c r="J32" i="19"/>
  <c r="J8" i="19"/>
  <c r="J45" i="19"/>
  <c r="J43" i="19"/>
  <c r="J31" i="19"/>
  <c r="J7" i="19"/>
  <c r="J30" i="19"/>
  <c r="J6" i="19"/>
  <c r="F40" i="8"/>
  <c r="E38" i="19"/>
  <c r="F23" i="8"/>
  <c r="E22" i="19"/>
  <c r="H22" i="19"/>
  <c r="O22" i="19"/>
  <c r="F11" i="8"/>
  <c r="E10" i="19"/>
  <c r="F48" i="8"/>
  <c r="E45" i="19"/>
  <c r="F44" i="8"/>
  <c r="E41" i="19"/>
  <c r="G41" i="19"/>
  <c r="N41" i="19"/>
  <c r="F38" i="8"/>
  <c r="E37" i="19"/>
  <c r="G37" i="19"/>
  <c r="N37" i="19"/>
  <c r="F34" i="8"/>
  <c r="E33" i="19"/>
  <c r="F30" i="8"/>
  <c r="E29" i="19"/>
  <c r="G29" i="19"/>
  <c r="N29" i="19"/>
  <c r="F26" i="8"/>
  <c r="E25" i="19"/>
  <c r="F22" i="8"/>
  <c r="E21" i="19"/>
  <c r="F18" i="8"/>
  <c r="E17" i="19"/>
  <c r="H17" i="19"/>
  <c r="O17" i="19"/>
  <c r="F14" i="8"/>
  <c r="E13" i="19"/>
  <c r="F10" i="8"/>
  <c r="E9" i="19"/>
  <c r="F6" i="8"/>
  <c r="E5" i="19"/>
  <c r="F45" i="8"/>
  <c r="E42" i="19"/>
  <c r="F31" i="8"/>
  <c r="E30" i="19"/>
  <c r="F19" i="8"/>
  <c r="E18" i="19"/>
  <c r="F18" i="19"/>
  <c r="F7" i="8"/>
  <c r="E6" i="19"/>
  <c r="C20" i="8"/>
  <c r="C19" i="19"/>
  <c r="F47" i="8"/>
  <c r="E44" i="19"/>
  <c r="F44" i="19"/>
  <c r="F43" i="8"/>
  <c r="E40" i="19"/>
  <c r="F37" i="8"/>
  <c r="E36" i="19"/>
  <c r="F33" i="8"/>
  <c r="E32" i="19"/>
  <c r="F29" i="8"/>
  <c r="E28" i="19"/>
  <c r="F28" i="19"/>
  <c r="F25" i="8"/>
  <c r="E24" i="19"/>
  <c r="F21" i="8"/>
  <c r="E20" i="19"/>
  <c r="H20" i="19"/>
  <c r="O20" i="19"/>
  <c r="F17" i="8"/>
  <c r="E16" i="19"/>
  <c r="F13" i="8"/>
  <c r="E12" i="19"/>
  <c r="F12" i="19"/>
  <c r="F9" i="8"/>
  <c r="E8" i="19"/>
  <c r="F5" i="8"/>
  <c r="E4" i="19"/>
  <c r="H4" i="19"/>
  <c r="O4" i="19"/>
  <c r="F3" i="8"/>
  <c r="E2" i="19"/>
  <c r="F35" i="8"/>
  <c r="E34" i="19"/>
  <c r="F27" i="8"/>
  <c r="E26" i="19"/>
  <c r="F15" i="8"/>
  <c r="E14" i="19"/>
  <c r="F46" i="8"/>
  <c r="E43" i="19"/>
  <c r="F41" i="8"/>
  <c r="E39" i="19"/>
  <c r="F36" i="8"/>
  <c r="E35" i="19"/>
  <c r="F32" i="8"/>
  <c r="E31" i="19"/>
  <c r="F28" i="8"/>
  <c r="E27" i="19"/>
  <c r="F24" i="8"/>
  <c r="E23" i="19"/>
  <c r="F20" i="8"/>
  <c r="E19" i="19"/>
  <c r="F16" i="8"/>
  <c r="E15" i="19"/>
  <c r="F12" i="8"/>
  <c r="E11" i="19"/>
  <c r="G11" i="19"/>
  <c r="N11" i="19"/>
  <c r="F8" i="8"/>
  <c r="E7" i="19"/>
  <c r="F4" i="8"/>
  <c r="E3" i="19"/>
  <c r="F3" i="19"/>
  <c r="B9" i="1"/>
  <c r="B10" i="1"/>
  <c r="B11" i="1"/>
  <c r="D4" i="8"/>
  <c r="D5" i="8"/>
  <c r="D6" i="8"/>
  <c r="D7" i="8"/>
  <c r="D8" i="8"/>
  <c r="D9" i="8"/>
  <c r="D10" i="8"/>
  <c r="D11" i="8"/>
  <c r="D12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40" i="8"/>
  <c r="D41" i="8"/>
  <c r="D43" i="8"/>
  <c r="D44" i="8"/>
  <c r="D45" i="8"/>
  <c r="D46" i="8"/>
  <c r="D47" i="8"/>
  <c r="D48" i="8"/>
  <c r="C4" i="8"/>
  <c r="C5" i="8"/>
  <c r="C6" i="8"/>
  <c r="C7" i="8"/>
  <c r="C8" i="8"/>
  <c r="C9" i="8"/>
  <c r="C10" i="8"/>
  <c r="C11" i="8"/>
  <c r="C12" i="8"/>
  <c r="C14" i="8"/>
  <c r="C15" i="8"/>
  <c r="C16" i="8"/>
  <c r="C17" i="8"/>
  <c r="C18" i="8"/>
  <c r="C19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40" i="8"/>
  <c r="C41" i="8"/>
  <c r="C43" i="8"/>
  <c r="C44" i="8"/>
  <c r="C45" i="8"/>
  <c r="C46" i="8"/>
  <c r="C47" i="8"/>
  <c r="C48" i="8"/>
  <c r="C3" i="8"/>
  <c r="J16" i="8"/>
  <c r="K16" i="8"/>
  <c r="L16" i="8"/>
  <c r="M16" i="8"/>
  <c r="N16" i="8"/>
  <c r="O16" i="8"/>
  <c r="P16" i="8"/>
  <c r="Q16" i="8"/>
  <c r="R16" i="8"/>
  <c r="J26" i="8"/>
  <c r="O26" i="8"/>
  <c r="P26" i="8"/>
  <c r="Q26" i="8"/>
  <c r="R26" i="8"/>
  <c r="K26" i="8"/>
  <c r="L26" i="8"/>
  <c r="M26" i="8"/>
  <c r="N26" i="8"/>
  <c r="J37" i="8"/>
  <c r="N37" i="8"/>
  <c r="L37" i="8"/>
  <c r="M37" i="8"/>
  <c r="P37" i="8"/>
  <c r="Q37" i="8"/>
  <c r="K37" i="8"/>
  <c r="R37" i="8"/>
  <c r="O37" i="8"/>
  <c r="J25" i="8"/>
  <c r="K25" i="8"/>
  <c r="L25" i="8"/>
  <c r="M25" i="8"/>
  <c r="N25" i="8"/>
  <c r="O25" i="8"/>
  <c r="P25" i="8"/>
  <c r="Q25" i="8"/>
  <c r="R25" i="8"/>
  <c r="J11" i="8"/>
  <c r="O11" i="8"/>
  <c r="P11" i="8"/>
  <c r="Q11" i="8"/>
  <c r="R11" i="8"/>
  <c r="N11" i="8"/>
  <c r="K11" i="8"/>
  <c r="L11" i="8"/>
  <c r="M11" i="8"/>
  <c r="O20" i="8"/>
  <c r="P20" i="8"/>
  <c r="Q20" i="8"/>
  <c r="R20" i="8"/>
  <c r="N20" i="8"/>
  <c r="K20" i="8"/>
  <c r="L20" i="8"/>
  <c r="M20" i="8"/>
  <c r="J36" i="8"/>
  <c r="K36" i="8"/>
  <c r="L36" i="8"/>
  <c r="M36" i="8"/>
  <c r="N36" i="8"/>
  <c r="O36" i="8"/>
  <c r="P36" i="8"/>
  <c r="R36" i="8"/>
  <c r="Q36" i="8"/>
  <c r="J24" i="8"/>
  <c r="K24" i="8"/>
  <c r="L24" i="8"/>
  <c r="M24" i="8"/>
  <c r="R24" i="8"/>
  <c r="N24" i="8"/>
  <c r="O24" i="8"/>
  <c r="P24" i="8"/>
  <c r="Q24" i="8"/>
  <c r="J10" i="8"/>
  <c r="K10" i="8"/>
  <c r="L10" i="8"/>
  <c r="M10" i="8"/>
  <c r="N10" i="8"/>
  <c r="O10" i="8"/>
  <c r="P10" i="8"/>
  <c r="Q10" i="8"/>
  <c r="R10" i="8"/>
  <c r="J15" i="8"/>
  <c r="K15" i="8"/>
  <c r="L15" i="8"/>
  <c r="M15" i="8"/>
  <c r="N15" i="8"/>
  <c r="O15" i="8"/>
  <c r="P15" i="8"/>
  <c r="Q15" i="8"/>
  <c r="R15" i="8"/>
  <c r="J12" i="8"/>
  <c r="K12" i="8"/>
  <c r="L12" i="8"/>
  <c r="M12" i="8"/>
  <c r="R12" i="8"/>
  <c r="N12" i="8"/>
  <c r="O12" i="8"/>
  <c r="P12" i="8"/>
  <c r="Q12" i="8"/>
  <c r="J35" i="8"/>
  <c r="O35" i="8"/>
  <c r="P35" i="8"/>
  <c r="Q35" i="8"/>
  <c r="R35" i="8"/>
  <c r="N35" i="8"/>
  <c r="K35" i="8"/>
  <c r="L35" i="8"/>
  <c r="M35" i="8"/>
  <c r="J48" i="8"/>
  <c r="K48" i="8"/>
  <c r="N48" i="8"/>
  <c r="O48" i="8"/>
  <c r="L48" i="8"/>
  <c r="M48" i="8"/>
  <c r="P48" i="8"/>
  <c r="Q48" i="8"/>
  <c r="R48" i="8"/>
  <c r="J34" i="8"/>
  <c r="L34" i="8"/>
  <c r="M34" i="8"/>
  <c r="O34" i="8"/>
  <c r="P34" i="8"/>
  <c r="N34" i="8"/>
  <c r="Q34" i="8"/>
  <c r="R34" i="8"/>
  <c r="K34" i="8"/>
  <c r="J22" i="8"/>
  <c r="K22" i="8"/>
  <c r="L22" i="8"/>
  <c r="M22" i="8"/>
  <c r="N22" i="8"/>
  <c r="O22" i="8"/>
  <c r="P22" i="8"/>
  <c r="Q22" i="8"/>
  <c r="R22" i="8"/>
  <c r="J8" i="8"/>
  <c r="O8" i="8"/>
  <c r="P8" i="8"/>
  <c r="Q8" i="8"/>
  <c r="R8" i="8"/>
  <c r="N8" i="8"/>
  <c r="K8" i="8"/>
  <c r="L8" i="8"/>
  <c r="M8" i="8"/>
  <c r="J43" i="8"/>
  <c r="P43" i="8"/>
  <c r="Q43" i="8"/>
  <c r="R43" i="8"/>
  <c r="K43" i="8"/>
  <c r="N43" i="8"/>
  <c r="O43" i="8"/>
  <c r="L43" i="8"/>
  <c r="M43" i="8"/>
  <c r="J9" i="8"/>
  <c r="K9" i="8"/>
  <c r="L9" i="8"/>
  <c r="M9" i="8"/>
  <c r="N9" i="8"/>
  <c r="O9" i="8"/>
  <c r="R9" i="8"/>
  <c r="P9" i="8"/>
  <c r="Q9" i="8"/>
  <c r="J47" i="8"/>
  <c r="K47" i="8"/>
  <c r="L47" i="8"/>
  <c r="M47" i="8"/>
  <c r="R47" i="8"/>
  <c r="N47" i="8"/>
  <c r="O47" i="8"/>
  <c r="P47" i="8"/>
  <c r="Q47" i="8"/>
  <c r="J7" i="8"/>
  <c r="K7" i="8"/>
  <c r="L7" i="8"/>
  <c r="M7" i="8"/>
  <c r="N7" i="8"/>
  <c r="O7" i="8"/>
  <c r="P7" i="8"/>
  <c r="Q7" i="8"/>
  <c r="R7" i="8"/>
  <c r="J31" i="8"/>
  <c r="L31" i="8"/>
  <c r="M31" i="8"/>
  <c r="O31" i="8"/>
  <c r="P31" i="8"/>
  <c r="K31" i="8"/>
  <c r="Q31" i="8"/>
  <c r="R31" i="8"/>
  <c r="N31" i="8"/>
  <c r="O5" i="8"/>
  <c r="P5" i="8"/>
  <c r="Q5" i="8"/>
  <c r="R5" i="8"/>
  <c r="K5" i="8"/>
  <c r="L5" i="8"/>
  <c r="M5" i="8"/>
  <c r="N5" i="8"/>
  <c r="J13" i="8"/>
  <c r="K13" i="8"/>
  <c r="L13" i="8"/>
  <c r="M13" i="8"/>
  <c r="N13" i="8"/>
  <c r="P13" i="8"/>
  <c r="Q13" i="8"/>
  <c r="R13" i="8"/>
  <c r="J41" i="8"/>
  <c r="L41" i="8"/>
  <c r="M41" i="8"/>
  <c r="P41" i="8"/>
  <c r="O41" i="8"/>
  <c r="Q41" i="8"/>
  <c r="R41" i="8"/>
  <c r="N41" i="8"/>
  <c r="K41" i="8"/>
  <c r="J28" i="8"/>
  <c r="L28" i="8"/>
  <c r="M28" i="8"/>
  <c r="O28" i="8"/>
  <c r="P28" i="8"/>
  <c r="Q28" i="8"/>
  <c r="N28" i="8"/>
  <c r="R28" i="8"/>
  <c r="K28" i="8"/>
  <c r="J38" i="8"/>
  <c r="P38" i="8"/>
  <c r="Q38" i="8"/>
  <c r="N38" i="8"/>
  <c r="L38" i="8"/>
  <c r="K38" i="8"/>
  <c r="M38" i="8"/>
  <c r="O38" i="8"/>
  <c r="R38" i="8"/>
  <c r="O23" i="8"/>
  <c r="P23" i="8"/>
  <c r="Q23" i="8"/>
  <c r="R23" i="8"/>
  <c r="K23" i="8"/>
  <c r="L23" i="8"/>
  <c r="N23" i="8"/>
  <c r="M23" i="8"/>
  <c r="J33" i="8"/>
  <c r="K33" i="8"/>
  <c r="L33" i="8"/>
  <c r="M33" i="8"/>
  <c r="N33" i="8"/>
  <c r="O33" i="8"/>
  <c r="P33" i="8"/>
  <c r="Q33" i="8"/>
  <c r="R33" i="8"/>
  <c r="K21" i="8"/>
  <c r="L21" i="8"/>
  <c r="M21" i="8"/>
  <c r="N21" i="8"/>
  <c r="R21" i="8"/>
  <c r="O21" i="8"/>
  <c r="P21" i="8"/>
  <c r="Q21" i="8"/>
  <c r="J46" i="8"/>
  <c r="P46" i="8"/>
  <c r="L46" i="8"/>
  <c r="Q46" i="8"/>
  <c r="K46" i="8"/>
  <c r="N46" i="8"/>
  <c r="O46" i="8"/>
  <c r="R46" i="8"/>
  <c r="M46" i="8"/>
  <c r="J32" i="8"/>
  <c r="P32" i="8"/>
  <c r="Q32" i="8"/>
  <c r="R32" i="8"/>
  <c r="L32" i="8"/>
  <c r="O32" i="8"/>
  <c r="K32" i="8"/>
  <c r="N32" i="8"/>
  <c r="M32" i="8"/>
  <c r="K19" i="8"/>
  <c r="L19" i="8"/>
  <c r="M19" i="8"/>
  <c r="N19" i="8"/>
  <c r="O19" i="8"/>
  <c r="P19" i="8"/>
  <c r="Q19" i="8"/>
  <c r="R19" i="8"/>
  <c r="J6" i="8"/>
  <c r="K6" i="8"/>
  <c r="L6" i="8"/>
  <c r="M6" i="8"/>
  <c r="N6" i="8"/>
  <c r="O6" i="8"/>
  <c r="P6" i="8"/>
  <c r="Q6" i="8"/>
  <c r="R6" i="8"/>
  <c r="J45" i="8"/>
  <c r="L45" i="8"/>
  <c r="P45" i="8"/>
  <c r="Q45" i="8"/>
  <c r="K45" i="8"/>
  <c r="O45" i="8"/>
  <c r="R45" i="8"/>
  <c r="N45" i="8"/>
  <c r="M45" i="8"/>
  <c r="J18" i="8"/>
  <c r="K18" i="8"/>
  <c r="L18" i="8"/>
  <c r="M18" i="8"/>
  <c r="N18" i="8"/>
  <c r="O18" i="8"/>
  <c r="R18" i="8"/>
  <c r="P18" i="8"/>
  <c r="Q18" i="8"/>
  <c r="J44" i="8"/>
  <c r="K44" i="8"/>
  <c r="L44" i="8"/>
  <c r="M44" i="8"/>
  <c r="P44" i="8"/>
  <c r="N44" i="8"/>
  <c r="O44" i="8"/>
  <c r="R44" i="8"/>
  <c r="Q44" i="8"/>
  <c r="J30" i="8"/>
  <c r="K30" i="8"/>
  <c r="L30" i="8"/>
  <c r="M30" i="8"/>
  <c r="N30" i="8"/>
  <c r="R30" i="8"/>
  <c r="O30" i="8"/>
  <c r="P30" i="8"/>
  <c r="Q30" i="8"/>
  <c r="J17" i="8"/>
  <c r="O17" i="8"/>
  <c r="P17" i="8"/>
  <c r="Q17" i="8"/>
  <c r="R17" i="8"/>
  <c r="K17" i="8"/>
  <c r="L17" i="8"/>
  <c r="M17" i="8"/>
  <c r="N17" i="8"/>
  <c r="K4" i="8"/>
  <c r="L4" i="8"/>
  <c r="M4" i="8"/>
  <c r="N4" i="8"/>
  <c r="O4" i="8"/>
  <c r="P4" i="8"/>
  <c r="Q4" i="8"/>
  <c r="R4" i="8"/>
  <c r="J29" i="8"/>
  <c r="P29" i="8"/>
  <c r="Q29" i="8"/>
  <c r="N29" i="8"/>
  <c r="K29" i="8"/>
  <c r="L29" i="8"/>
  <c r="O29" i="8"/>
  <c r="R29" i="8"/>
  <c r="M29" i="8"/>
  <c r="J40" i="8"/>
  <c r="L40" i="8"/>
  <c r="M40" i="8"/>
  <c r="N40" i="8"/>
  <c r="K40" i="8"/>
  <c r="O40" i="8"/>
  <c r="P40" i="8"/>
  <c r="Q40" i="8"/>
  <c r="R40" i="8"/>
  <c r="J27" i="8"/>
  <c r="K27" i="8"/>
  <c r="L27" i="8"/>
  <c r="M27" i="8"/>
  <c r="N27" i="8"/>
  <c r="O27" i="8"/>
  <c r="R27" i="8"/>
  <c r="P27" i="8"/>
  <c r="Q27" i="8"/>
  <c r="J14" i="8"/>
  <c r="O14" i="8"/>
  <c r="P14" i="8"/>
  <c r="Q14" i="8"/>
  <c r="R14" i="8"/>
  <c r="K14" i="8"/>
  <c r="L14" i="8"/>
  <c r="N14" i="8"/>
  <c r="M14" i="8"/>
  <c r="J20" i="8"/>
  <c r="J23" i="8"/>
  <c r="J21" i="8"/>
  <c r="J19" i="8"/>
  <c r="J5" i="8"/>
  <c r="J4" i="8"/>
  <c r="F29" i="19"/>
  <c r="F4" i="19"/>
  <c r="M4" i="19"/>
  <c r="F11" i="19"/>
  <c r="M11" i="19"/>
  <c r="F19" i="19"/>
  <c r="M19" i="19"/>
  <c r="F20" i="19"/>
  <c r="F22" i="19"/>
  <c r="M22" i="19"/>
  <c r="F41" i="19"/>
  <c r="M41" i="19"/>
  <c r="F37" i="19"/>
  <c r="M37" i="19"/>
  <c r="F17" i="19"/>
  <c r="M17" i="19"/>
  <c r="M12" i="19"/>
  <c r="M28" i="19"/>
  <c r="M18" i="19"/>
  <c r="M44" i="19"/>
  <c r="H3" i="19"/>
  <c r="O3" i="19"/>
  <c r="I3" i="19"/>
  <c r="I4" i="19"/>
  <c r="I28" i="19"/>
  <c r="I29" i="19"/>
  <c r="I17" i="19"/>
  <c r="I18" i="19"/>
  <c r="I20" i="19"/>
  <c r="I44" i="19"/>
  <c r="I22" i="19"/>
  <c r="I41" i="19"/>
  <c r="I19" i="19"/>
  <c r="I11" i="19"/>
  <c r="I12" i="19"/>
  <c r="I37" i="19"/>
  <c r="J37" i="19"/>
  <c r="J4" i="19"/>
  <c r="J28" i="19"/>
  <c r="J3" i="19"/>
  <c r="J29" i="19"/>
  <c r="J18" i="19"/>
  <c r="J20" i="19"/>
  <c r="J22" i="19"/>
  <c r="J11" i="19"/>
  <c r="J19" i="19"/>
  <c r="J12" i="19"/>
  <c r="J17" i="19"/>
  <c r="J44" i="19"/>
  <c r="J41" i="19"/>
  <c r="G19" i="19"/>
  <c r="N19" i="19"/>
  <c r="H19" i="19"/>
  <c r="O19" i="19"/>
  <c r="G17" i="19"/>
  <c r="N17" i="19"/>
  <c r="G4" i="19"/>
  <c r="N4" i="19"/>
  <c r="G20" i="19"/>
  <c r="N20" i="19"/>
  <c r="G22" i="19"/>
  <c r="N22" i="19"/>
  <c r="H37" i="19"/>
  <c r="O37" i="19"/>
  <c r="H41" i="19"/>
  <c r="O41" i="19"/>
  <c r="H12" i="19"/>
  <c r="O12" i="19"/>
  <c r="H28" i="19"/>
  <c r="O28" i="19"/>
  <c r="H44" i="19"/>
  <c r="O44" i="19"/>
  <c r="H18" i="19"/>
  <c r="O18" i="19"/>
  <c r="G18" i="19"/>
  <c r="N18" i="19"/>
  <c r="H11" i="19"/>
  <c r="O11" i="19"/>
  <c r="H29" i="19"/>
  <c r="O29" i="19"/>
  <c r="G12" i="19"/>
  <c r="N12" i="19"/>
  <c r="G28" i="19"/>
  <c r="N28" i="19"/>
  <c r="G44" i="19"/>
  <c r="N44" i="19"/>
  <c r="G3" i="19"/>
  <c r="N3" i="19"/>
  <c r="D11" i="1"/>
  <c r="H11" i="1"/>
  <c r="I11" i="1"/>
  <c r="L11" i="1"/>
  <c r="N11" i="1"/>
  <c r="P11" i="1"/>
  <c r="R11" i="1"/>
  <c r="S11" i="1"/>
  <c r="T11" i="1"/>
  <c r="V11" i="1"/>
  <c r="W11" i="1"/>
  <c r="Y11" i="1"/>
  <c r="AA11" i="1"/>
  <c r="AE11" i="1"/>
  <c r="AJ11" i="1"/>
  <c r="AL11" i="1"/>
  <c r="AO11" i="1"/>
  <c r="AQ11" i="1"/>
  <c r="AT11" i="1"/>
  <c r="AU11" i="1"/>
  <c r="AV11" i="1"/>
  <c r="AX11" i="1"/>
  <c r="AZ11" i="1"/>
  <c r="BA11" i="1"/>
  <c r="BC11" i="1"/>
  <c r="M3" i="19"/>
  <c r="M20" i="19"/>
  <c r="M29" i="19"/>
  <c r="AZ10" i="1"/>
  <c r="AX9" i="1"/>
  <c r="AT10" i="1"/>
  <c r="AV9" i="1"/>
  <c r="AO10" i="1"/>
  <c r="AJ9" i="1"/>
  <c r="AA10" i="1"/>
  <c r="AA9" i="1"/>
  <c r="W10" i="1"/>
  <c r="T9" i="1"/>
  <c r="S9" i="1"/>
  <c r="R9" i="1"/>
  <c r="H10" i="1"/>
  <c r="H9" i="1"/>
  <c r="D9" i="1"/>
  <c r="I10" i="1"/>
  <c r="L10" i="1"/>
  <c r="N10" i="1"/>
  <c r="P10" i="1"/>
  <c r="R10" i="1"/>
  <c r="S10" i="1"/>
  <c r="T10" i="1"/>
  <c r="V10" i="1"/>
  <c r="W9" i="1"/>
  <c r="Y10" i="1"/>
  <c r="AE9" i="1"/>
  <c r="AJ10" i="1"/>
  <c r="AL10" i="1"/>
  <c r="AO9" i="1"/>
  <c r="AT9" i="1"/>
  <c r="AU9" i="1"/>
  <c r="AV10" i="1"/>
  <c r="AX10" i="1"/>
  <c r="AZ9" i="1"/>
  <c r="BA10" i="1"/>
  <c r="BC10" i="1"/>
  <c r="AU10" i="1"/>
  <c r="AE10" i="1"/>
  <c r="I9" i="1"/>
  <c r="L9" i="1"/>
  <c r="V9" i="1"/>
  <c r="AL9" i="1"/>
  <c r="BA9" i="1"/>
  <c r="BC9" i="1"/>
  <c r="N9" i="1"/>
  <c r="D10" i="1"/>
  <c r="P9" i="1"/>
  <c r="Y9" i="1"/>
  <c r="AQ9" i="1"/>
  <c r="AQ10" i="1"/>
  <c r="BE8" i="1"/>
  <c r="BE7" i="1"/>
  <c r="BE6" i="1"/>
  <c r="BE5" i="1"/>
  <c r="BE10" i="1"/>
  <c r="BE9" i="1"/>
</calcChain>
</file>

<file path=xl/sharedStrings.xml><?xml version="1.0" encoding="utf-8"?>
<sst xmlns="http://schemas.openxmlformats.org/spreadsheetml/2006/main" count="3046" uniqueCount="512">
  <si>
    <t>BALB/C</t>
  </si>
  <si>
    <t>CBA</t>
  </si>
  <si>
    <t>C3H</t>
  </si>
  <si>
    <t>C57BL/6</t>
  </si>
  <si>
    <t>"Very High" - includes frequencies reported in the literature as being between &gt;80% and 100% as well as frequnecies reported to be "very high"</t>
  </si>
  <si>
    <t>"High" - includes frequencies reported in the literature as being between &gt;50% and 80% as well as frequencies reported to be "high"</t>
  </si>
  <si>
    <t>"Moderate" - includes frequencies reported in the literature as being between &gt;20% and 50% as well as frequencies reported to be "moderate"</t>
  </si>
  <si>
    <t>"Low" - includes frequencies reported in the literature as being between &gt;10% and 20% as well as frequencies reported to be "low"</t>
  </si>
  <si>
    <t>"Very Low" - includes frequencies reported in the literature as being between &gt;0% and 10% as well as frequencies reported to be "sporadic" and "very low"</t>
  </si>
  <si>
    <t>"Observed" - the literature reported that tumors were observed but the authors did not indicate frequency</t>
  </si>
  <si>
    <t>"Zero" - the literature reported that no tumors were observed</t>
  </si>
  <si>
    <t>HZE-tau</t>
  </si>
  <si>
    <t>B6C3</t>
  </si>
  <si>
    <t>BALBC</t>
  </si>
  <si>
    <t>C57</t>
  </si>
  <si>
    <t>X-tau</t>
  </si>
  <si>
    <t>Pearson-X</t>
  </si>
  <si>
    <t>Pearson-HZE</t>
  </si>
  <si>
    <t>Tumor Name</t>
  </si>
  <si>
    <t>Organ(s) Affected</t>
  </si>
  <si>
    <t>Treatment Type</t>
  </si>
  <si>
    <t>Frequency Range</t>
  </si>
  <si>
    <t>Heart</t>
  </si>
  <si>
    <t>None (spontaneous)</t>
  </si>
  <si>
    <t>Eye - Harderian gland</t>
  </si>
  <si>
    <t>Forestomach</t>
  </si>
  <si>
    <t>Heart hyperplasia - endothelial</t>
  </si>
  <si>
    <t>Kidney</t>
  </si>
  <si>
    <t>Thymus</t>
  </si>
  <si>
    <t>Leukocyte</t>
  </si>
  <si>
    <t>Liver</t>
  </si>
  <si>
    <t>Lung</t>
  </si>
  <si>
    <t>Mammary gland</t>
  </si>
  <si>
    <t>Ovary - Granulosa cell</t>
  </si>
  <si>
    <t>Preputial gland (male)</t>
  </si>
  <si>
    <t>Adipose tissue lipoma</t>
  </si>
  <si>
    <t>Peritoneum - Mesentery</t>
  </si>
  <si>
    <t>Skin</t>
  </si>
  <si>
    <t>CNS - Brain</t>
  </si>
  <si>
    <t>Adipose tissue</t>
  </si>
  <si>
    <t>Adrenal gland - Capsule</t>
  </si>
  <si>
    <t>Adrenal gland - Cortex</t>
  </si>
  <si>
    <t>Adrenal gland - Medulla</t>
  </si>
  <si>
    <t>Blood vessel</t>
  </si>
  <si>
    <t>Salivary gland</t>
  </si>
  <si>
    <t>Pancreas</t>
  </si>
  <si>
    <t>Bone marrow</t>
  </si>
  <si>
    <t>Lymph node - Mandibular</t>
  </si>
  <si>
    <t>Lymph node - Mesenteric</t>
  </si>
  <si>
    <t>Lymph node</t>
  </si>
  <si>
    <t>Spleen</t>
  </si>
  <si>
    <t>Testis</t>
  </si>
  <si>
    <t>Epididymis</t>
  </si>
  <si>
    <t>Nose - Nasal cavity</t>
  </si>
  <si>
    <t>Urinary bladder</t>
  </si>
  <si>
    <t>Uterus</t>
  </si>
  <si>
    <t>Ovary</t>
  </si>
  <si>
    <t>Intestine - Small Intestine</t>
  </si>
  <si>
    <t>Bone</t>
  </si>
  <si>
    <t>Muscle - Striated - Skeletal</t>
  </si>
  <si>
    <t>Clitoral gland</t>
  </si>
  <si>
    <t>Bone osteosarcoma</t>
  </si>
  <si>
    <t>CNS - Brain - Astrocyte</t>
  </si>
  <si>
    <t>CNS - Brain - Oligodendroglial cell</t>
  </si>
  <si>
    <t>Tail</t>
  </si>
  <si>
    <t>Ear</t>
  </si>
  <si>
    <t>Stomach - Glandular</t>
  </si>
  <si>
    <t>Intestine - Large Intestine</t>
  </si>
  <si>
    <t>Connective tissue - Fibroblast</t>
  </si>
  <si>
    <t>Ear - Zymbal gland</t>
  </si>
  <si>
    <t>Esophagus</t>
  </si>
  <si>
    <t>Esophagus squamous cell carcinoma</t>
  </si>
  <si>
    <t>Eye - Uvea - Melanocyte melanoma</t>
  </si>
  <si>
    <t>Eye - Uvea - Melanocyte</t>
  </si>
  <si>
    <t>Gallbladder adenoma</t>
  </si>
  <si>
    <t>Gallbladder</t>
  </si>
  <si>
    <t>Gastrointestinal tract tumor</t>
  </si>
  <si>
    <t>Gastrointestinal tract</t>
  </si>
  <si>
    <t>Intestine</t>
  </si>
  <si>
    <t>Kidney - Renal tubule</t>
  </si>
  <si>
    <t>Leukocyte - Lymphocyte - B-lymphocyte - Plasma cell</t>
  </si>
  <si>
    <t>Leukocyte - Monocyte - Macrophage - Histiocyte</t>
  </si>
  <si>
    <t>Liver - Bile duct</t>
  </si>
  <si>
    <t>Liver - Hepatocyte</t>
  </si>
  <si>
    <t>Liver - Sinusoid - Ito cell</t>
  </si>
  <si>
    <t>Not Specified</t>
  </si>
  <si>
    <t>Lymphoid tissue lymphoma</t>
  </si>
  <si>
    <t>Seminal vesicle</t>
  </si>
  <si>
    <t>Eye</t>
  </si>
  <si>
    <t>Uterus - Endometrium - Stroma</t>
  </si>
  <si>
    <t>Mesodermal cell/mesoblast</t>
  </si>
  <si>
    <t>Mesothelium mesothelioma</t>
  </si>
  <si>
    <t>Testis - Tunica vaginalis</t>
  </si>
  <si>
    <t>Mesothelium</t>
  </si>
  <si>
    <t>Uterus - Cervix</t>
  </si>
  <si>
    <t>Vagina</t>
  </si>
  <si>
    <t>Nose</t>
  </si>
  <si>
    <t>Oral cavity</t>
  </si>
  <si>
    <t>Ovary - Germ cell</t>
  </si>
  <si>
    <t>Ovary - Theca cell</t>
  </si>
  <si>
    <t>Head</t>
  </si>
  <si>
    <t>PNS - Schwann cell</t>
  </si>
  <si>
    <t>Pancreas - Islet of Langerhans</t>
  </si>
  <si>
    <t>Parathyroid gland carcinoma</t>
  </si>
  <si>
    <t>Parathyroid gland</t>
  </si>
  <si>
    <t>Pituitary gland - Pars distalis</t>
  </si>
  <si>
    <t>Pituitary gland - Pars intermedia</t>
  </si>
  <si>
    <t>Pituitary gland</t>
  </si>
  <si>
    <t>Placenta - Decidua deciduoma</t>
  </si>
  <si>
    <t>Placenta - Decidua</t>
  </si>
  <si>
    <t>Prostate gland adenoma</t>
  </si>
  <si>
    <t>Prostate gland</t>
  </si>
  <si>
    <t>Seminal vesicle adenoma</t>
  </si>
  <si>
    <t>Skin - Epidermis - Basal cell</t>
  </si>
  <si>
    <t>Skin - Hair follicle - Basal cell</t>
  </si>
  <si>
    <t>Skin gland - Sebaceous gland</t>
  </si>
  <si>
    <t>Stomach</t>
  </si>
  <si>
    <t>Testis - Leydig cell (Interstitial cell)</t>
  </si>
  <si>
    <t>Testis - Seminiferous tubules - Sertoli cell</t>
  </si>
  <si>
    <t>Thymus thymoma</t>
  </si>
  <si>
    <t>Thyroid gland - Follicular cell</t>
  </si>
  <si>
    <t>Thyroid gland - Medulla - C cell</t>
  </si>
  <si>
    <t>Thyroid gland</t>
  </si>
  <si>
    <t>Tooth odontoma</t>
  </si>
  <si>
    <t>Tooth</t>
  </si>
  <si>
    <t>Urinary bladder papilloma</t>
  </si>
  <si>
    <t>Uterus - Cervix - Stroma</t>
  </si>
  <si>
    <t>Vagina squamous cell papilloma</t>
  </si>
  <si>
    <t>Number of group records</t>
  </si>
  <si>
    <t>B6C3F1</t>
  </si>
  <si>
    <t xml:space="preserve">Adrenal gland </t>
  </si>
  <si>
    <t xml:space="preserve">CNS - Brain </t>
  </si>
  <si>
    <t>Connective tissue</t>
  </si>
  <si>
    <t>Mesodermal cell</t>
  </si>
  <si>
    <t>Muscle</t>
  </si>
  <si>
    <t>Oral cavity squamous cell</t>
  </si>
  <si>
    <t>For N=5, P-value is less than 0.05 for R2&gt;=0.88</t>
  </si>
  <si>
    <t>Bgd</t>
  </si>
  <si>
    <t>Adrenal gland - Cortex tumor</t>
  </si>
  <si>
    <t>Adrenal gland - Subcapsular cell hyperplasia</t>
  </si>
  <si>
    <t>Blood vessel hemangiosarcoma</t>
  </si>
  <si>
    <t>Connective tissue - Fibroblast fibrosarcoma</t>
  </si>
  <si>
    <t>Intestine - Large Intestine - Colon adenoma</t>
  </si>
  <si>
    <t>Kidney tumor</t>
  </si>
  <si>
    <t>Leukocyte - Lymphocyte leukemia - lymphocytic</t>
  </si>
  <si>
    <t>Leukocyte - Lymphocyte lymphoma - small lymphocytic</t>
  </si>
  <si>
    <t>Leukocyte leukemia</t>
  </si>
  <si>
    <t>Leukocyte lymphoma</t>
  </si>
  <si>
    <t>Liver hepatoma</t>
  </si>
  <si>
    <t>Lung adenoma</t>
  </si>
  <si>
    <t>Lung carcinoma</t>
  </si>
  <si>
    <t>Lung hyperplasia</t>
  </si>
  <si>
    <t>Lung tumor</t>
  </si>
  <si>
    <t>Mammary gland adenoacanthoma</t>
  </si>
  <si>
    <t>Mammary gland adenocarcinoma</t>
  </si>
  <si>
    <t>Mammary gland tumor</t>
  </si>
  <si>
    <t>Muscle - Striated - Skeletal rhabdomyosarcoma</t>
  </si>
  <si>
    <t>Myoepithelial cell myoepithelioma</t>
  </si>
  <si>
    <t>Myoepithelial cell</t>
  </si>
  <si>
    <t>Stomach - Glandular adenoma</t>
  </si>
  <si>
    <t>Stomach - Glandular hyperplasia - adenomatous</t>
  </si>
  <si>
    <t>Testis - Leydig cell (Interstitial cell) hyperplasia</t>
  </si>
  <si>
    <t>Ureter</t>
  </si>
  <si>
    <t>(Unspecified organ)</t>
  </si>
  <si>
    <t>(Unspecified organ) squamous cell carcinoma</t>
  </si>
  <si>
    <t>Number of</t>
  </si>
  <si>
    <t>Adrenal gland</t>
  </si>
  <si>
    <t>Tumor Group Records</t>
  </si>
  <si>
    <t>Peritoneal cavity</t>
  </si>
  <si>
    <t>Adrenal gland - Cortex adenoma</t>
  </si>
  <si>
    <t>Adrenal gland - Medulla pheochromocytoma</t>
  </si>
  <si>
    <t>Blood vessel hemangioma</t>
  </si>
  <si>
    <t>Epididymis cyst</t>
  </si>
  <si>
    <t>Erythrocyte</t>
  </si>
  <si>
    <t>Eye - Eyelid lesion</t>
  </si>
  <si>
    <t>Eye - Harderian gland adenoma</t>
  </si>
  <si>
    <t>Eye - Lacrimal gland hyperplasia</t>
  </si>
  <si>
    <t>Forestomach papilloma</t>
  </si>
  <si>
    <t>Gallbladder cyst</t>
  </si>
  <si>
    <t>Gallbladder hyperplasia</t>
  </si>
  <si>
    <t>Gallbladder hyperplasia - papillary</t>
  </si>
  <si>
    <t>Intestine - Large Intestine - Anus lesion</t>
  </si>
  <si>
    <t>Intestine - Large Intestine - Cecum hyperplasia</t>
  </si>
  <si>
    <t>Intestine - Large Intestine - Cecum lesion</t>
  </si>
  <si>
    <t>Intestine - Large Intestine - Colon lesion</t>
  </si>
  <si>
    <t>Intestine - Small Intestine - Brunner's gland adenoma</t>
  </si>
  <si>
    <t>Intestine - Small Intestine - Brunner's gland hyperplasia</t>
  </si>
  <si>
    <t>Intestine - Small Intestine - Duodenum adenoma</t>
  </si>
  <si>
    <t>Intestine - Small Intestine - Duodenum cyst</t>
  </si>
  <si>
    <t>Intestine - Small Intestine - Duodenum hyperplasia</t>
  </si>
  <si>
    <t>Intestine - Small Intestine - Duodenum polyp</t>
  </si>
  <si>
    <t>Intestine - Small Intestine - Ileum polyp</t>
  </si>
  <si>
    <t>Intestine - Small Intestine - Jejunum hyperplasia</t>
  </si>
  <si>
    <t>Intestine - Small Intestine - Jejunum polyp</t>
  </si>
  <si>
    <t>Intestine lesion</t>
  </si>
  <si>
    <t>Kidney adenoma</t>
  </si>
  <si>
    <t>Leukocyte - Lymphocyte - B-lymphocyte - Plasma cell neoplasm</t>
  </si>
  <si>
    <t>Leukocyte - Lymphocyte - B-lymphocyte - Plasma cell tumor</t>
  </si>
  <si>
    <t>Leukocyte - Lymphocyte lymphoma</t>
  </si>
  <si>
    <t>Leukocyte - Monocyte - Macrophage - Histiocyte histiocytic sarcoma</t>
  </si>
  <si>
    <t>Leukocyte - Myelocyte (Granulocyte) - Basophil - Mast cell tumor</t>
  </si>
  <si>
    <t>Leukocyte - Myelocyte (Granulocyte) hyperplasia</t>
  </si>
  <si>
    <t>Liver - Bile duct adenoma</t>
  </si>
  <si>
    <t>Liver - Bile duct hyperplasia</t>
  </si>
  <si>
    <t>Lung metaplasia</t>
  </si>
  <si>
    <t>Lymph node cyst</t>
  </si>
  <si>
    <t>Lymph node hyperplasia</t>
  </si>
  <si>
    <t>Lymph node lesion</t>
  </si>
  <si>
    <t>Mammary gland adenocarcinoma - tubular</t>
  </si>
  <si>
    <t>Mammary gland adenocarcinoma in situ</t>
  </si>
  <si>
    <t>Mammary gland adenoma - tubular</t>
  </si>
  <si>
    <t>Mesodermal cell/mesoblast myxosarcoma</t>
  </si>
  <si>
    <t>Mesodermal cell/mesoblast sarcoma</t>
  </si>
  <si>
    <t>Mesodermal cell/mesoblast sarcoma - spindle cell</t>
  </si>
  <si>
    <t>Mesodermal cell/mesoblast sarcoma - stromal</t>
  </si>
  <si>
    <t>Mouth - Oral mucosa cyst</t>
  </si>
  <si>
    <t>Mouth - Oral mucosa</t>
  </si>
  <si>
    <t>Muscle - Smooth leiomyoma</t>
  </si>
  <si>
    <t>Muscle - Smooth leiomyosarcoma</t>
  </si>
  <si>
    <t>Muscle - Striated - Skeletal rhabdomyosarcoma - pleomorphic</t>
  </si>
  <si>
    <t>Muscle - Striated - Skeletal rhabdomyosarcoma - well differentiated</t>
  </si>
  <si>
    <t>Muzzle lesion</t>
  </si>
  <si>
    <t>Muzzle</t>
  </si>
  <si>
    <t>Nail squamous cell carcinoma</t>
  </si>
  <si>
    <t>Nail</t>
  </si>
  <si>
    <t>Nail squamous cell carcinoma - well differentiated</t>
  </si>
  <si>
    <t>Nose lesion</t>
  </si>
  <si>
    <t>Ovary - Follicle cyst - follicular</t>
  </si>
  <si>
    <t>Ovary - Granulosa cell tumor - granulosa cell</t>
  </si>
  <si>
    <t>Ovary - Luteal cell tumor</t>
  </si>
  <si>
    <t>Ovary adenoma</t>
  </si>
  <si>
    <t>Ovary cyst</t>
  </si>
  <si>
    <t>Ovary cyst - bursal</t>
  </si>
  <si>
    <t>Ovary hyperplasia</t>
  </si>
  <si>
    <t>Ovary hyperplasia - epithelial</t>
  </si>
  <si>
    <t>Ovary luteoma</t>
  </si>
  <si>
    <t>Ovary tumor - tubulostromal</t>
  </si>
  <si>
    <t>PNS - Nerve sheath tumor</t>
  </si>
  <si>
    <t>Pancreas - Duct adenoma</t>
  </si>
  <si>
    <t>Pancreas - Islet of Langerhans hyperplasia</t>
  </si>
  <si>
    <t>Pancreas carcinoma in situ</t>
  </si>
  <si>
    <t>Pancreas hyperplasia</t>
  </si>
  <si>
    <t>Paw - Hindpaw lesion</t>
  </si>
  <si>
    <t>Paw - Hindpaw</t>
  </si>
  <si>
    <t>Penis lesion</t>
  </si>
  <si>
    <t>Penis</t>
  </si>
  <si>
    <t>Prostate gland - Anterior lobe adenocarcinoma</t>
  </si>
  <si>
    <t>Salivary gland - Sublingual hyperplasia - squamous</t>
  </si>
  <si>
    <t>Salivary gland - Sublingual squamous cell hyperplasia</t>
  </si>
  <si>
    <t>Salivary gland lesion</t>
  </si>
  <si>
    <t>Skin - Abdomen lesion</t>
  </si>
  <si>
    <t>Skin - Dorsal region lesion</t>
  </si>
  <si>
    <t>Skin - Ear lesion</t>
  </si>
  <si>
    <t>Skin - Epidermis - Basal cell carcinoma</t>
  </si>
  <si>
    <t>Skin - Epidermis cyst - inclusion</t>
  </si>
  <si>
    <t>Skin - Epidermis squamous cell papilloma</t>
  </si>
  <si>
    <t>Skin - Vibrissa squamous cell carcinoma in situ</t>
  </si>
  <si>
    <t>Skin gland - Sweat gland hyperplasia</t>
  </si>
  <si>
    <t>Skin hyperplasia - epithelial</t>
  </si>
  <si>
    <t>Stomach - Glandular cyst</t>
  </si>
  <si>
    <t>Stomach - Glandular cyst - glandular</t>
  </si>
  <si>
    <t>Stomach - Glandular hyperplasia</t>
  </si>
  <si>
    <t>Stomach - Glandular polyp</t>
  </si>
  <si>
    <t>Stomach lesion</t>
  </si>
  <si>
    <t>Tail lesion</t>
  </si>
  <si>
    <t>Testis - Germ cell teratoma</t>
  </si>
  <si>
    <t>Testis - Leydig cell (Interstitial cell) cyst</t>
  </si>
  <si>
    <t>Thyroid gland - Follicular cell cyst</t>
  </si>
  <si>
    <t>Thyroid gland cyst</t>
  </si>
  <si>
    <t>Thyroid gland hyperplasia - cystic</t>
  </si>
  <si>
    <t>Thyroid gland hyperplasia - nodular</t>
  </si>
  <si>
    <t>Tongue polyp</t>
  </si>
  <si>
    <t>Tongue</t>
  </si>
  <si>
    <t>Tooth dysplasia</t>
  </si>
  <si>
    <t>Ureter - Transitional cell hyperplasia</t>
  </si>
  <si>
    <t>Ureter hyperplasia</t>
  </si>
  <si>
    <t>Ureter polyp</t>
  </si>
  <si>
    <t>Urinary bladder - Transitional cell atypia</t>
  </si>
  <si>
    <t>Uterus - Endometrium hyperplasia - cystic</t>
  </si>
  <si>
    <t>Uterus adenoma</t>
  </si>
  <si>
    <t>Uterus fibropapilloma</t>
  </si>
  <si>
    <t>Uterus lesion</t>
  </si>
  <si>
    <t>Vagina lesion</t>
  </si>
  <si>
    <t>Vagina papilloma</t>
  </si>
  <si>
    <t>Vulva squamous cell carcinoma</t>
  </si>
  <si>
    <t>Vulva</t>
  </si>
  <si>
    <t>(Unspecified organ) tumor</t>
  </si>
  <si>
    <t xml:space="preserve">Adipose tissue lipoma </t>
  </si>
  <si>
    <t xml:space="preserve">Blood vessel </t>
  </si>
  <si>
    <t xml:space="preserve">CNS </t>
  </si>
  <si>
    <t xml:space="preserve">Connective tissue </t>
  </si>
  <si>
    <t xml:space="preserve">Erythrocyte </t>
  </si>
  <si>
    <t xml:space="preserve">Eye </t>
  </si>
  <si>
    <t xml:space="preserve">Muscle </t>
  </si>
  <si>
    <t xml:space="preserve">Prostate gland </t>
  </si>
  <si>
    <t xml:space="preserve">Salivary gland </t>
  </si>
  <si>
    <t xml:space="preserve">Ureter </t>
  </si>
  <si>
    <t xml:space="preserve">Urinary bladder </t>
  </si>
  <si>
    <t>BalbC/Jy</t>
  </si>
  <si>
    <t>Adrenal gland - Cortex lesion</t>
  </si>
  <si>
    <t>Adrenal gland - Medulla hyperplasia</t>
  </si>
  <si>
    <t>Adrenal gland - Medulla pheochromocytoma - benign</t>
  </si>
  <si>
    <t>Adrenal gland - Medulla pheochromocytoma - malignant</t>
  </si>
  <si>
    <t>Adrenal gland - Subcapsular cell adenoma</t>
  </si>
  <si>
    <t>Eye - Harderian gland carcinoma</t>
  </si>
  <si>
    <t>Eye - Harderian gland hyperplasia</t>
  </si>
  <si>
    <t>Eye - Harderian gland tumor</t>
  </si>
  <si>
    <t>Forestomach squamous cell papilloma</t>
  </si>
  <si>
    <t>Kidney carcinoma</t>
  </si>
  <si>
    <t>Kidney hyperplasia - tubular</t>
  </si>
  <si>
    <t>Liver foci - basophilic</t>
  </si>
  <si>
    <t>Liver foci - clear cell</t>
  </si>
  <si>
    <t>Liver foci - eosinophilic</t>
  </si>
  <si>
    <t>Liver hepatocellular adenoma</t>
  </si>
  <si>
    <t>Liver hepatocellular carcinoma</t>
  </si>
  <si>
    <t>Liver hepatocellular tumor</t>
  </si>
  <si>
    <t>Lymph node - Cervical hyperplasia - lymphoid</t>
  </si>
  <si>
    <t>Ovary - Granulosa cell tumor</t>
  </si>
  <si>
    <t>Ovary - Granulosa cell tumor - benign</t>
  </si>
  <si>
    <t>Ovary - Granulosa cell tumor - malignant</t>
  </si>
  <si>
    <t>Ovary adenoma - tubulostromal</t>
  </si>
  <si>
    <t>Ovary hyperplasia - tubulostromal</t>
  </si>
  <si>
    <t>Pancreas - Acinar cell adenoma</t>
  </si>
  <si>
    <t>Pancreas - Acinar cell hyperplasia</t>
  </si>
  <si>
    <t>Pancreas - Islet of Langerhans adenoma</t>
  </si>
  <si>
    <t>Pituitary gland - Pars distalis adenocarcinoma</t>
  </si>
  <si>
    <t>Pituitary gland - Pars distalis adenoma</t>
  </si>
  <si>
    <t>Pituitary gland - Pars distalis hyperplasia</t>
  </si>
  <si>
    <t>Pituitary gland - Pars distalis tumor</t>
  </si>
  <si>
    <t>Skin - Melanocyte melanoma - malignant</t>
  </si>
  <si>
    <t>Thyroid gland - Follicular cell adenoma</t>
  </si>
  <si>
    <t>Thyroid gland - Follicular cell hyperplasia</t>
  </si>
  <si>
    <t>Thyroid gland - Medulla - C cell adenoma</t>
  </si>
  <si>
    <t>Uterus - Endometrium - Stroma polyp</t>
  </si>
  <si>
    <t>Uterus - Endometrium adenocarcinoma</t>
  </si>
  <si>
    <t>Uterus - Endometrium adenoma</t>
  </si>
  <si>
    <t>Uterus - Endometrium tumor</t>
  </si>
  <si>
    <t>Uterus polyp - glandular</t>
  </si>
  <si>
    <t>Vagina polyp - adenomatous/stromal</t>
  </si>
  <si>
    <t>(Unspecified organ) carcinoma</t>
  </si>
  <si>
    <t>(Unspecified organ) lymphoma</t>
  </si>
  <si>
    <t>Brain - CNS</t>
  </si>
  <si>
    <t>Liver tumor</t>
  </si>
  <si>
    <t>Lung adenocarcinoma</t>
  </si>
  <si>
    <t>Ovary - Germ cell teratoma</t>
  </si>
  <si>
    <t>PNS - Schwann cell myoblastoma - granular cell</t>
  </si>
  <si>
    <t>(Unspecified organ) tumor - benign</t>
  </si>
  <si>
    <t>Esophagus tumor</t>
  </si>
  <si>
    <t>Kidney cyst</t>
  </si>
  <si>
    <t>Pituitary gland tumor</t>
  </si>
  <si>
    <t>Pearson HZE</t>
  </si>
  <si>
    <t>Pearson X</t>
  </si>
  <si>
    <t>Pearson background</t>
  </si>
  <si>
    <t>Liver adenoma</t>
  </si>
  <si>
    <t>Mammary gland carcinoma</t>
  </si>
  <si>
    <t>Ovary adenoma - tubular</t>
  </si>
  <si>
    <t>Ovary tumor</t>
  </si>
  <si>
    <t>Ovary tumor - granulosa-theca cell - benign</t>
  </si>
  <si>
    <t>Uterus carcinoma</t>
  </si>
  <si>
    <t>http://tumor.informatics.jax.org/mtbwi/strainDetails.do?page=collapsed&amp;key=212</t>
  </si>
  <si>
    <t>http://tumor.informatics.jax.org/mtbwi/strainDetails.do?page=collapsed&amp;key=9066</t>
  </si>
  <si>
    <t>Blood vessel hemangioendothelioma</t>
  </si>
  <si>
    <t>Liver - Hepatocyte foci - basophilic</t>
  </si>
  <si>
    <t>Liver tumor - basophilic</t>
  </si>
  <si>
    <t>Skin tumor</t>
  </si>
  <si>
    <t>Urinary bladder carcinoma</t>
  </si>
  <si>
    <t>(Unspecified organ) reticulum cell neoplasm</t>
  </si>
  <si>
    <t>http://tumor.informatics.jax.org/mtbwi/strainDetails.do?page=collapsed&amp;key=47</t>
  </si>
  <si>
    <t>http://tumor.informatics.jax.org/mtbwi/strainDetails.do?page=collapsed&amp;key=161</t>
  </si>
  <si>
    <t>Erythrocyte hyperplasia</t>
  </si>
  <si>
    <t>Leukocyte - Lymphocyte hyperplasia</t>
  </si>
  <si>
    <t>Leukocyte - Lymphocyte lymphoma - lymphoblastic</t>
  </si>
  <si>
    <t>Leukocyte - Monocyte - Macrophage - Histiocyte lymphoma - histiocytic</t>
  </si>
  <si>
    <t>Leukocyte - Myelocyte (Granulocyte) leukemia - myelocytic</t>
  </si>
  <si>
    <t>Leukocyte lymphoma - mixed</t>
  </si>
  <si>
    <t>Reticular cell hyperplasia</t>
  </si>
  <si>
    <t>http://tumor.informatics.jax.org/mtbwi/strainDetails.do?page=collapsed&amp;key=9071</t>
  </si>
  <si>
    <t>Intestine - Large Intestine adenocarcinoma</t>
  </si>
  <si>
    <t>Salivary gland - Parotid</t>
  </si>
  <si>
    <t>Stomach adenoma</t>
  </si>
  <si>
    <t>Testis - Leydig cell (Interstitial cell) tumor</t>
  </si>
  <si>
    <t>http://tumor.informatics.jax.org/mtbwi/strainDetails.do?page=collapsed&amp;key=311</t>
  </si>
  <si>
    <t>Adipose tissue - White lipoma</t>
  </si>
  <si>
    <t>Adipose tissue lipoma - pedunculated</t>
  </si>
  <si>
    <t>Adrenal gland - Subcapsular cell hyperplasia - spindle cell</t>
  </si>
  <si>
    <t>Adrenal gland hyperplasia - nodular</t>
  </si>
  <si>
    <t>Adrenal gland hyperplasia - spindle cell</t>
  </si>
  <si>
    <t>Adrenal gland tumor - carcinoid</t>
  </si>
  <si>
    <t>Blood vessel - Aorta metaplasia - cartilaginous</t>
  </si>
  <si>
    <t>Blood vessel hemangioma - capillary</t>
  </si>
  <si>
    <t>Blood vessel hemangioma - cavernous</t>
  </si>
  <si>
    <t>Blood vessel neoplasm</t>
  </si>
  <si>
    <t>Bone - Vertebral column - Vertebra osteosarcoma</t>
  </si>
  <si>
    <t>Bone - Vertebral column - Vertebra osteosarcoma - chondroblastic</t>
  </si>
  <si>
    <t>Bone hyperplasia</t>
  </si>
  <si>
    <t>Bone lesion - fibro-osseous</t>
  </si>
  <si>
    <t>Bone neoplasm</t>
  </si>
  <si>
    <t>CNS - Brain glioma</t>
  </si>
  <si>
    <t>Connective tissue - Cartilage - Articular hyperplasia</t>
  </si>
  <si>
    <t>Connective tissue - Cartilage hyperplasia</t>
  </si>
  <si>
    <t>Erythrocyte leukemia - erythroleukemia</t>
  </si>
  <si>
    <t>Erythrocyte neoplasm</t>
  </si>
  <si>
    <t>Esophagus hyperplasia</t>
  </si>
  <si>
    <t>Eye - Harderian gland neoplasm</t>
  </si>
  <si>
    <t>Forestomach hyperplasia</t>
  </si>
  <si>
    <t>Forestomach hyperplasia - papillary</t>
  </si>
  <si>
    <t>Gingiva squamous cell carcinoma - well differentiated</t>
  </si>
  <si>
    <t>Gingiva</t>
  </si>
  <si>
    <t>Intestine - Large Intestine - Colon - Distal adenocarcinoma</t>
  </si>
  <si>
    <t>Intestine - Large Intestine - Colon - Distal adenoma</t>
  </si>
  <si>
    <t>Intestine - Large Intestine - Colon - Medial adenocarcinoma</t>
  </si>
  <si>
    <t>Intestine - Large Intestine - Colon - Medial adenoma</t>
  </si>
  <si>
    <t>Intestine - Large Intestine - Colon - Proximal adenocarcinoma</t>
  </si>
  <si>
    <t>Intestine - Large Intestine - Colon - Proximal adenoma</t>
  </si>
  <si>
    <t>Intestine - Small Intestine - Duodenum adenocarcinoma</t>
  </si>
  <si>
    <t>Intestine - Small Intestine - Ileum adenocarcinoma</t>
  </si>
  <si>
    <t>Intestine - Small Intestine - Ileum adenoma</t>
  </si>
  <si>
    <t>Intestine - Small Intestine - Jejunum adenocarcinoma</t>
  </si>
  <si>
    <t>Intestine - Small Intestine - Jejunum adenoma</t>
  </si>
  <si>
    <t>Intestine - Small Intestine tumor</t>
  </si>
  <si>
    <t>Intestine neoplasm</t>
  </si>
  <si>
    <t>Intestine polyp</t>
  </si>
  <si>
    <t>Intestine tumor</t>
  </si>
  <si>
    <t>Kidney - Cortex cyst</t>
  </si>
  <si>
    <t>Kidney - Renal tubule cyst</t>
  </si>
  <si>
    <t>Kidney cyst - macrocyst</t>
  </si>
  <si>
    <t>Kidney cyst - microcyst</t>
  </si>
  <si>
    <t>Kidney metaplasia - osseous</t>
  </si>
  <si>
    <t>Kidney transitional cell hyperplasia</t>
  </si>
  <si>
    <t>Kidney tumor - round cell</t>
  </si>
  <si>
    <t>Leukocyte lymphoma - lymphosarcoma</t>
  </si>
  <si>
    <t>Leukocyte neoplasia</t>
  </si>
  <si>
    <t>Liver - Bile duct cyst - macrocyst</t>
  </si>
  <si>
    <t>Liver cyst</t>
  </si>
  <si>
    <t>Liver cyst - macrocyst</t>
  </si>
  <si>
    <t>Liver cystadenoma</t>
  </si>
  <si>
    <t>Liver foci - vacuolated cell</t>
  </si>
  <si>
    <t>Liver hepatoblastoma</t>
  </si>
  <si>
    <t>Liver hyperplasia</t>
  </si>
  <si>
    <t>Liver neoplasm</t>
  </si>
  <si>
    <t>Lung neoplasm</t>
  </si>
  <si>
    <t>Reticulocyte</t>
  </si>
  <si>
    <t>Mammary gland adenocarcinoma - intraductal</t>
  </si>
  <si>
    <t>Mammary gland neoplasm</t>
  </si>
  <si>
    <t>Mesodermal cell/mesoblast sarcoma - round cell</t>
  </si>
  <si>
    <t>Muscle - Smooth</t>
  </si>
  <si>
    <t>Nail dysplasia</t>
  </si>
  <si>
    <t>Ovary - Sex cord stromal cell adenoma - tubulostromal</t>
  </si>
  <si>
    <t>Ovary cystadenoma</t>
  </si>
  <si>
    <t>Ovary neoplasm</t>
  </si>
  <si>
    <t>Oviduct hyperplasia</t>
  </si>
  <si>
    <t>Pancreas - Islet of Langerhans - Beta cell tumor</t>
  </si>
  <si>
    <t>Pancreas neoplasm</t>
  </si>
  <si>
    <t>Peritoneum - Mesentery hyperplasia</t>
  </si>
  <si>
    <t>Pituitary gland - Pars distalis cyst - microcyst</t>
  </si>
  <si>
    <t>Pituitary gland - Pars distalis hyperplasia - focal</t>
  </si>
  <si>
    <t>Pituitary gland - Pars intermedia adenoma</t>
  </si>
  <si>
    <t>Pituitary gland - Pars intermedia hyperplasia</t>
  </si>
  <si>
    <t>Pituitary gland adenoma</t>
  </si>
  <si>
    <t>Pituitary gland carcinoma</t>
  </si>
  <si>
    <t>Pituitary gland cyst - microcyst</t>
  </si>
  <si>
    <t>Pituitary gland hyperplasia</t>
  </si>
  <si>
    <t>Pituitary gland hyperplasia - focal</t>
  </si>
  <si>
    <t>Pituitary gland neoplasm</t>
  </si>
  <si>
    <t>Prostate gland prostatic intraepithelial neoplasia (PIN)</t>
  </si>
  <si>
    <t>Salivary gland - Parotid hyperplasia</t>
  </si>
  <si>
    <t>Skin - Dorsal region adenoma - sebaceous</t>
  </si>
  <si>
    <t>Skin - Dorsal region papilloma</t>
  </si>
  <si>
    <t>Skin - Epidermis hamartoma</t>
  </si>
  <si>
    <t>Skin - Epidermis hyperplasia</t>
  </si>
  <si>
    <t>Skin - Hair follicle hyperplasia</t>
  </si>
  <si>
    <t>Skin hyperplasia</t>
  </si>
  <si>
    <t>Skin squamous cell carcinoma</t>
  </si>
  <si>
    <t>Spleen tumor - round cell</t>
  </si>
  <si>
    <t>Stomach - Epithelium hyperplasia - squamous</t>
  </si>
  <si>
    <t>Stomach adenocarcinoma</t>
  </si>
  <si>
    <t>Stomach squamous cell papilloma</t>
  </si>
  <si>
    <t>Testis - Leydig cell (Interstitial cell) adenoma</t>
  </si>
  <si>
    <t>Thyroid gland adenoma</t>
  </si>
  <si>
    <t>Thyroid gland neoplasm</t>
  </si>
  <si>
    <t>Ureter - Transitional cell</t>
  </si>
  <si>
    <t>Uterus neoplasm</t>
  </si>
  <si>
    <t>(Unspecified organ) neoplasm</t>
  </si>
  <si>
    <t>(Unspecified organ) reticulum cell sarcoma</t>
  </si>
  <si>
    <t>http://www.tumor.informatics.jax.org/mtbwi/strainDetails.do?page=collapsed&amp;key=143</t>
  </si>
  <si>
    <t>http://tumor.informatics.jax.org/mtbwi/strainDetails.do?page=collapsed&amp;key=827</t>
  </si>
  <si>
    <t xml:space="preserve">4 Strains </t>
  </si>
  <si>
    <t>P-value &lt;0.05 for Pearson&gt;0.955</t>
  </si>
  <si>
    <t>Ar_tau</t>
  </si>
  <si>
    <t>Ar_Rho</t>
  </si>
  <si>
    <t>Fe_tau</t>
  </si>
  <si>
    <t>Fe_Rho</t>
  </si>
  <si>
    <t>X0.1Gy_tau</t>
  </si>
  <si>
    <t>X1Gy_tau</t>
  </si>
  <si>
    <t>X4Gy_tau</t>
  </si>
  <si>
    <t>X1Gy_RIF_inter</t>
  </si>
  <si>
    <t>X4Gy_RIF_inter</t>
  </si>
  <si>
    <t>CC002</t>
  </si>
  <si>
    <t>CC011</t>
  </si>
  <si>
    <t>CC013</t>
  </si>
  <si>
    <t>CC019</t>
  </si>
  <si>
    <t>CC032</t>
  </si>
  <si>
    <t>CC037</t>
  </si>
  <si>
    <t>CC040</t>
  </si>
  <si>
    <t>CC042</t>
  </si>
  <si>
    <t>CC051</t>
  </si>
  <si>
    <t>CC061</t>
  </si>
  <si>
    <t>Pearson</t>
  </si>
  <si>
    <t>Old data</t>
  </si>
  <si>
    <t xml:space="preserve">Thymus lymphoma </t>
  </si>
  <si>
    <t xml:space="preserve">Splenic lymphoma </t>
  </si>
  <si>
    <t>~38%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</si>
</sst>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Fill="1" applyBorder="1"/>
    <xf numFmtId="9" fontId="0" fillId="0" borderId="0" xfId="1" applyFont="1"/>
    <xf numFmtId="0" fontId="5" fillId="0" borderId="0" xfId="2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0" fontId="0" fillId="0" borderId="0" xfId="0" applyFill="1" applyBorder="1" applyAlignment="1">
      <alignment vertical="center" wrapText="1"/>
    </xf>
    <xf numFmtId="0" fontId="0" fillId="0" borderId="0" xfId="0" applyFill="1"/>
    <xf numFmtId="9" fontId="0" fillId="3" borderId="0" xfId="1" applyFont="1" applyFill="1"/>
    <xf numFmtId="0" fontId="0" fillId="4" borderId="0" xfId="0" applyFill="1"/>
    <xf numFmtId="9" fontId="0" fillId="4" borderId="0" xfId="1" applyFont="1" applyFill="1"/>
    <xf numFmtId="165" fontId="0" fillId="4" borderId="0" xfId="0" applyNumberFormat="1" applyFill="1" applyBorder="1" applyAlignment="1">
      <alignment vertical="center" wrapText="1"/>
    </xf>
    <xf numFmtId="165" fontId="0" fillId="0" borderId="0" xfId="0" applyNumberFormat="1" applyFill="1" applyBorder="1" applyAlignment="1">
      <alignment vertical="center" wrapText="1"/>
    </xf>
    <xf numFmtId="0" fontId="4" fillId="5" borderId="0" xfId="0" applyFont="1" applyFill="1"/>
    <xf numFmtId="9" fontId="4" fillId="5" borderId="0" xfId="1" applyFont="1" applyFill="1"/>
    <xf numFmtId="0" fontId="0" fillId="0" borderId="0" xfId="0" applyFont="1" applyAlignment="1"/>
    <xf numFmtId="0" fontId="6" fillId="0" borderId="4" xfId="0" applyFont="1" applyBorder="1" applyAlignment="1">
      <alignment horizontal="left" wrapText="1"/>
    </xf>
    <xf numFmtId="0" fontId="0" fillId="0" borderId="0" xfId="0" applyFont="1" applyFill="1" applyBorder="1" applyAlignment="1"/>
    <xf numFmtId="0" fontId="0" fillId="0" borderId="4" xfId="0" applyFont="1" applyBorder="1" applyAlignment="1">
      <alignment horizontal="right"/>
    </xf>
    <xf numFmtId="0" fontId="2" fillId="0" borderId="0" xfId="0" applyFont="1" applyAlignment="1"/>
    <xf numFmtId="0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17" fontId="0" fillId="0" borderId="0" xfId="0" applyNumberFormat="1"/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10" fontId="0" fillId="0" borderId="5" xfId="0" applyNumberFormat="1" applyFont="1" applyBorder="1"/>
    <xf numFmtId="0" fontId="5" fillId="0" borderId="0" xfId="2"/>
    <xf numFmtId="0" fontId="0" fillId="0" borderId="0" xfId="0" applyFill="1" applyBorder="1" applyAlignment="1">
      <alignment horizontal="center" vertical="center"/>
    </xf>
    <xf numFmtId="10" fontId="7" fillId="0" borderId="5" xfId="0" applyNumberFormat="1" applyFont="1" applyBorder="1"/>
    <xf numFmtId="0" fontId="0" fillId="0" borderId="21" xfId="0" applyFill="1" applyBorder="1" applyAlignment="1">
      <alignment horizontal="center" vertical="center"/>
    </xf>
    <xf numFmtId="10" fontId="0" fillId="0" borderId="0" xfId="0" applyNumberFormat="1" applyFont="1" applyBorder="1"/>
    <xf numFmtId="165" fontId="0" fillId="0" borderId="0" xfId="0" applyNumberFormat="1"/>
    <xf numFmtId="2" fontId="0" fillId="0" borderId="22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0" xfId="0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7.png"/><Relationship Id="rId21" Type="http://schemas.openxmlformats.org/officeDocument/2006/relationships/image" Target="../media/image14.png"/><Relationship Id="rId42" Type="http://schemas.openxmlformats.org/officeDocument/2006/relationships/image" Target="../media/image28.png"/><Relationship Id="rId47" Type="http://schemas.openxmlformats.org/officeDocument/2006/relationships/image" Target="../media/image32.png"/><Relationship Id="rId63" Type="http://schemas.openxmlformats.org/officeDocument/2006/relationships/hyperlink" Target="http://www.tumor.informatics.jax.org/mtbwi/redirect.do?url=tumorFrequencyGrid.do?organKey%3d116%26currentOrganKey%3d%26amp;strainFamilyKey%3d%26amp;currentStrainFamilyKey%3d" TargetMode="External"/><Relationship Id="rId68" Type="http://schemas.openxmlformats.org/officeDocument/2006/relationships/hyperlink" Target="http://www.tumor.informatics.jax.org/mtbwi/redirect.do?url=tumorFrequencyGrid.do?organKey%3d61%26currentOrganKey%3d%26amp;strainFamilyKey%3d%26amp;currentStrainFamilyKey%3d" TargetMode="External"/><Relationship Id="rId84" Type="http://schemas.openxmlformats.org/officeDocument/2006/relationships/hyperlink" Target="http://www.tumor.informatics.jax.org/mtbwi/redirect.do?url=tumorFrequencyGrid.do?organKey%3d%26amp;currentOrganKey%3d%26amp;strainFamilyKey%3d32%26amp;currentStrainFamilyKey%3d" TargetMode="External"/><Relationship Id="rId89" Type="http://schemas.openxmlformats.org/officeDocument/2006/relationships/hyperlink" Target="http://www.tumor.informatics.jax.org/mtbwi/redirect.do?url=tumorFrequencyGrid.do?organKey%3d%26amp;currentOrganKey%3d%26amp;strainFamilyKey%3d112%26amp;currentStrainFamilyKey%3d" TargetMode="External"/><Relationship Id="rId16" Type="http://schemas.openxmlformats.org/officeDocument/2006/relationships/hyperlink" Target="http://www.tumor.informatics.jax.org/mtbwi/redirect.do?url=tumorFrequencyGrid.do?organKey%3d28%26currentOrganKey%3d%26amp;strainFamilyKey%3d%26amp;currentStrainFamilyKey%3d" TargetMode="External"/><Relationship Id="rId107" Type="http://schemas.openxmlformats.org/officeDocument/2006/relationships/image" Target="../media/image54.png"/><Relationship Id="rId11" Type="http://schemas.openxmlformats.org/officeDocument/2006/relationships/hyperlink" Target="http://www.tumor.informatics.jax.org/mtbwi/redirect.do?url=tumorFrequencyGrid.do?organKey%3d26%26currentOrganKey%3d%26amp;strainFamilyKey%3d%26amp;currentStrainFamilyKey%3d" TargetMode="External"/><Relationship Id="rId32" Type="http://schemas.openxmlformats.org/officeDocument/2006/relationships/image" Target="../media/image20.png"/><Relationship Id="rId37" Type="http://schemas.openxmlformats.org/officeDocument/2006/relationships/image" Target="../media/image24.png"/><Relationship Id="rId53" Type="http://schemas.openxmlformats.org/officeDocument/2006/relationships/hyperlink" Target="http://www.tumor.informatics.jax.org/mtbwi/redirect.do?url=tumorFrequencyGrid.do?organKey%3d39%26currentOrganKey%3d%26amp;strainFamilyKey%3d%26amp;currentStrainFamilyKey%3d" TargetMode="External"/><Relationship Id="rId58" Type="http://schemas.openxmlformats.org/officeDocument/2006/relationships/hyperlink" Target="http://www.tumor.informatics.jax.org/mtbwi/redirect.do?url=tumorFrequencyGrid.do?organKey%3d4%26currentOrganKey%3d%26amp;strainFamilyKey%3d%26amp;currentStrainFamilyKey%3d" TargetMode="External"/><Relationship Id="rId74" Type="http://schemas.openxmlformats.org/officeDocument/2006/relationships/image" Target="../media/image49.png"/><Relationship Id="rId79" Type="http://schemas.openxmlformats.org/officeDocument/2006/relationships/image" Target="../media/image53.png"/><Relationship Id="rId102" Type="http://schemas.openxmlformats.org/officeDocument/2006/relationships/hyperlink" Target="http://www.tumor.informatics.jax.org/mtbwi/redirect.do?url=tumorFrequencyGrid.do?organKey%3d%26amp;currentOrganKey%3d%26amp;strainFamilyKey%3d54%26amp;currentStrainFamilyKey%3d" TargetMode="External"/><Relationship Id="rId5" Type="http://schemas.openxmlformats.org/officeDocument/2006/relationships/image" Target="../media/image5.png"/><Relationship Id="rId90" Type="http://schemas.openxmlformats.org/officeDocument/2006/relationships/hyperlink" Target="http://www.tumor.informatics.jax.org/mtbwi/redirect.do?url=tumorFrequencyGrid.do?organKey%3d%26amp;currentOrganKey%3d%26amp;strainFamilyKey%3d86%26amp;currentStrainFamilyKey%3d" TargetMode="External"/><Relationship Id="rId95" Type="http://schemas.openxmlformats.org/officeDocument/2006/relationships/hyperlink" Target="http://www.tumor.informatics.jax.org/mtbwi/redirect.do?url=tumorFrequencyGrid.do?organKey%3d%26amp;currentOrganKey%3d%26amp;strainFamilyKey%3d29%26amp;currentStrainFamilyKey%3d" TargetMode="External"/><Relationship Id="rId22" Type="http://schemas.openxmlformats.org/officeDocument/2006/relationships/image" Target="../media/image15.png"/><Relationship Id="rId27" Type="http://schemas.openxmlformats.org/officeDocument/2006/relationships/hyperlink" Target="http://www.tumor.informatics.jax.org/mtbwi/redirect.do?url=tumorFrequencyGrid.do?organKey%3d29%26currentOrganKey%3d%26amp;strainFamilyKey%3d%26amp;currentStrainFamilyKey%3d" TargetMode="External"/><Relationship Id="rId43" Type="http://schemas.openxmlformats.org/officeDocument/2006/relationships/image" Target="../media/image29.png"/><Relationship Id="rId48" Type="http://schemas.openxmlformats.org/officeDocument/2006/relationships/image" Target="../media/image33.png"/><Relationship Id="rId64" Type="http://schemas.openxmlformats.org/officeDocument/2006/relationships/image" Target="../media/image43.png"/><Relationship Id="rId69" Type="http://schemas.openxmlformats.org/officeDocument/2006/relationships/image" Target="../media/image46.png"/><Relationship Id="rId80" Type="http://schemas.openxmlformats.org/officeDocument/2006/relationships/hyperlink" Target="http://www.tumor.informatics.jax.org/mtbwi/redirect.do?url=tumorFrequencyGrid.do?organKey%3d%26amp;currentOrganKey%3d%26amp;strainFamilyKey%3d70%26amp;currentStrainFamilyKey%3d" TargetMode="External"/><Relationship Id="rId85" Type="http://schemas.openxmlformats.org/officeDocument/2006/relationships/hyperlink" Target="http://www.tumor.informatics.jax.org/mtbwi/redirect.do?url=tumorFrequencyGrid.do?organKey%3d%26amp;currentOrganKey%3d%26amp;strainFamilyKey%3d23%26amp;currentStrainFamilyKey%3d" TargetMode="External"/><Relationship Id="rId12" Type="http://schemas.openxmlformats.org/officeDocument/2006/relationships/image" Target="../media/image9.png"/><Relationship Id="rId17" Type="http://schemas.openxmlformats.org/officeDocument/2006/relationships/image" Target="../media/image12.png"/><Relationship Id="rId33" Type="http://schemas.openxmlformats.org/officeDocument/2006/relationships/hyperlink" Target="http://www.tumor.informatics.jax.org/mtbwi/redirect.do?url=tumorFrequencyGrid.do?organKey%3d66%26currentOrganKey%3d%26amp;strainFamilyKey%3d%26amp;currentStrainFamilyKey%3d" TargetMode="External"/><Relationship Id="rId38" Type="http://schemas.openxmlformats.org/officeDocument/2006/relationships/image" Target="../media/image25.png"/><Relationship Id="rId59" Type="http://schemas.openxmlformats.org/officeDocument/2006/relationships/image" Target="../media/image40.png"/><Relationship Id="rId103" Type="http://schemas.openxmlformats.org/officeDocument/2006/relationships/hyperlink" Target="http://www.tumor.informatics.jax.org/mtbwi/redirect.do?url=tumorFrequencyGrid.do?organKey%3d%26amp;currentOrganKey%3d%26amp;strainFamilyKey%3d82%26amp;currentStrainFamilyKey%3d" TargetMode="External"/><Relationship Id="rId108" Type="http://schemas.openxmlformats.org/officeDocument/2006/relationships/image" Target="../media/image55.png"/><Relationship Id="rId54" Type="http://schemas.openxmlformats.org/officeDocument/2006/relationships/image" Target="../media/image37.png"/><Relationship Id="rId70" Type="http://schemas.openxmlformats.org/officeDocument/2006/relationships/image" Target="../media/image47.png"/><Relationship Id="rId75" Type="http://schemas.openxmlformats.org/officeDocument/2006/relationships/image" Target="../media/image50.png"/><Relationship Id="rId91" Type="http://schemas.openxmlformats.org/officeDocument/2006/relationships/hyperlink" Target="http://www.tumor.informatics.jax.org/mtbwi/redirect.do?url=tumorFrequencyGrid.do?organKey%3d%26amp;currentOrganKey%3d%26amp;strainFamilyKey%3d84%26amp;currentStrainFamilyKey%3d" TargetMode="External"/><Relationship Id="rId96" Type="http://schemas.openxmlformats.org/officeDocument/2006/relationships/hyperlink" Target="http://www.tumor.informatics.jax.org/mtbwi/redirect.do?url=tumorFrequencyGrid.do?organKey%3d%26amp;currentOrganKey%3d%26amp;strainFamilyKey%3d26%26amp;currentStrainFamilyKey%3d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://www.tumor.informatics.jax.org/mtbwi/redirect.do?url=tumorFrequencyGrid.do?organKey%3d363%26currentOrganKey%3d%26amp;strainFamilyKey%3d%26amp;currentStrainFamilyKey%3d" TargetMode="External"/><Relationship Id="rId15" Type="http://schemas.openxmlformats.org/officeDocument/2006/relationships/image" Target="../media/image11.png"/><Relationship Id="rId23" Type="http://schemas.openxmlformats.org/officeDocument/2006/relationships/hyperlink" Target="http://www.tumor.informatics.jax.org/mtbwi/redirect.do?url=tumorFrequencyGrid.do?organKey%3d56%26currentOrganKey%3d%26amp;strainFamilyKey%3d%26amp;currentStrainFamilyKey%3d" TargetMode="External"/><Relationship Id="rId28" Type="http://schemas.openxmlformats.org/officeDocument/2006/relationships/image" Target="../media/image18.png"/><Relationship Id="rId36" Type="http://schemas.openxmlformats.org/officeDocument/2006/relationships/image" Target="../media/image23.png"/><Relationship Id="rId49" Type="http://schemas.openxmlformats.org/officeDocument/2006/relationships/image" Target="../media/image34.png"/><Relationship Id="rId57" Type="http://schemas.openxmlformats.org/officeDocument/2006/relationships/image" Target="../media/image39.png"/><Relationship Id="rId106" Type="http://schemas.openxmlformats.org/officeDocument/2006/relationships/hyperlink" Target="http://www.tumor.informatics.jax.org/mtbwi/redirect.do?url=tumorFrequencyGrid.do?organKey%3d%26amp;currentOrganKey%3d%26amp;strainFamilyKey%3d101%26amp;currentStrainFamilyKey%3d" TargetMode="External"/><Relationship Id="rId10" Type="http://schemas.openxmlformats.org/officeDocument/2006/relationships/image" Target="../media/image8.png"/><Relationship Id="rId31" Type="http://schemas.openxmlformats.org/officeDocument/2006/relationships/hyperlink" Target="http://www.tumor.informatics.jax.org/mtbwi/redirect.do?url=tumorFrequencyGrid.do?organKey%3d117%26currentOrganKey%3d%26amp;strainFamilyKey%3d%26amp;currentStrainFamilyKey%3d" TargetMode="External"/><Relationship Id="rId44" Type="http://schemas.openxmlformats.org/officeDocument/2006/relationships/hyperlink" Target="http://www.tumor.informatics.jax.org/mtbwi/redirect.do?url=tumorFrequencyGrid.do?organKey%3d3%26currentOrganKey%3d%26amp;strainFamilyKey%3d%26amp;currentStrainFamilyKey%3d" TargetMode="External"/><Relationship Id="rId52" Type="http://schemas.openxmlformats.org/officeDocument/2006/relationships/image" Target="../media/image36.png"/><Relationship Id="rId60" Type="http://schemas.openxmlformats.org/officeDocument/2006/relationships/image" Target="../media/image41.png"/><Relationship Id="rId65" Type="http://schemas.openxmlformats.org/officeDocument/2006/relationships/hyperlink" Target="http://www.tumor.informatics.jax.org/mtbwi/redirect.do?url=tumorFrequencyGrid.do?organKey%3d95%26currentOrganKey%3d%26amp;strainFamilyKey%3d%26amp;currentStrainFamilyKey%3d" TargetMode="External"/><Relationship Id="rId73" Type="http://schemas.openxmlformats.org/officeDocument/2006/relationships/hyperlink" Target="http://www.tumor.informatics.jax.org/mtbwi/redirect.do?url=tumorFrequencyGrid.do?organKey%3d36%26currentOrganKey%3d%26amp;strainFamilyKey%3d%26amp;currentStrainFamilyKey%3d" TargetMode="External"/><Relationship Id="rId78" Type="http://schemas.openxmlformats.org/officeDocument/2006/relationships/hyperlink" Target="http://www.tumor.informatics.jax.org/mtbwi/redirect.do?url=tumorFrequencyGrid.do?organKey%3d%26amp;currentOrganKey%3d%26amp;strainFamilyKey%3d2%26amp;currentStrainFamilyKey%3d" TargetMode="External"/><Relationship Id="rId81" Type="http://schemas.openxmlformats.org/officeDocument/2006/relationships/hyperlink" Target="http://www.tumor.informatics.jax.org/mtbwi/redirect.do?url=tumorFrequencyGrid.do?organKey%3d%26amp;currentOrganKey%3d%26amp;strainFamilyKey%3d9%26amp;currentStrainFamilyKey%3d" TargetMode="External"/><Relationship Id="rId86" Type="http://schemas.openxmlformats.org/officeDocument/2006/relationships/hyperlink" Target="http://www.tumor.informatics.jax.org/mtbwi/redirect.do?url=tumorFrequencyGrid.do?organKey%3d%26amp;currentOrganKey%3d%26amp;strainFamilyKey%3d43%26amp;currentStrainFamilyKey%3d" TargetMode="External"/><Relationship Id="rId94" Type="http://schemas.openxmlformats.org/officeDocument/2006/relationships/hyperlink" Target="http://www.tumor.informatics.jax.org/mtbwi/redirect.do?url=tumorFrequencyGrid.do?organKey%3d%26amp;currentOrganKey%3d%26amp;strainFamilyKey%3d30%26amp;currentStrainFamilyKey%3d" TargetMode="External"/><Relationship Id="rId99" Type="http://schemas.openxmlformats.org/officeDocument/2006/relationships/hyperlink" Target="http://www.tumor.informatics.jax.org/mtbwi/redirect.do?url=tumorFrequencyGrid.do?organKey%3d%26amp;currentOrganKey%3d%26amp;strainFamilyKey%3d73%26amp;currentStrainFamilyKey%3d" TargetMode="External"/><Relationship Id="rId101" Type="http://schemas.openxmlformats.org/officeDocument/2006/relationships/hyperlink" Target="http://www.tumor.informatics.jax.org/mtbwi/redirect.do?url=tumorFrequencyGrid.do?organKey%3d%26amp;currentOrganKey%3d%26amp;strainFamilyKey%3d116%26amp;currentStrainFamilyKey%3d" TargetMode="External"/><Relationship Id="rId4" Type="http://schemas.openxmlformats.org/officeDocument/2006/relationships/image" Target="../media/image4.png"/><Relationship Id="rId9" Type="http://schemas.openxmlformats.org/officeDocument/2006/relationships/hyperlink" Target="http://www.tumor.informatics.jax.org/mtbwi/redirect.do?url=tumorFrequencyGrid.do?organKey%3d17%26currentOrganKey%3d%26amp;strainFamilyKey%3d%26amp;currentStrainFamilyKey%3d" TargetMode="External"/><Relationship Id="rId13" Type="http://schemas.openxmlformats.org/officeDocument/2006/relationships/hyperlink" Target="http://www.tumor.informatics.jax.org/mtbwi/redirect.do?url=tumorFrequencyGrid.do?organKey%3d245%26currentOrganKey%3d%26amp;strainFamilyKey%3d%26amp;currentStrainFamilyKey%3d" TargetMode="External"/><Relationship Id="rId18" Type="http://schemas.openxmlformats.org/officeDocument/2006/relationships/hyperlink" Target="http://www.tumor.informatics.jax.org/mtbwi/redirect.do?url=tumorFrequencyGrid.do?organKey%3d9%26currentOrganKey%3d%26amp;strainFamilyKey%3d%26amp;currentStrainFamilyKey%3d" TargetMode="External"/><Relationship Id="rId39" Type="http://schemas.openxmlformats.org/officeDocument/2006/relationships/hyperlink" Target="http://www.tumor.informatics.jax.org/mtbwi/redirect.do?url=tumorFrequencyGrid.do?organKey%3d45%26currentOrganKey%3d%26amp;strainFamilyKey%3d%26amp;currentStrainFamilyKey%3d" TargetMode="External"/><Relationship Id="rId109" Type="http://schemas.openxmlformats.org/officeDocument/2006/relationships/image" Target="../media/image56.png"/><Relationship Id="rId34" Type="http://schemas.openxmlformats.org/officeDocument/2006/relationships/image" Target="../media/image21.png"/><Relationship Id="rId50" Type="http://schemas.openxmlformats.org/officeDocument/2006/relationships/hyperlink" Target="http://www.tumor.informatics.jax.org/mtbwi/redirect.do?url=tumorFrequencyGrid.do?organKey%3d140%26currentOrganKey%3d%26amp;strainFamilyKey%3d%26amp;currentStrainFamilyKey%3d" TargetMode="External"/><Relationship Id="rId55" Type="http://schemas.openxmlformats.org/officeDocument/2006/relationships/hyperlink" Target="http://www.tumor.informatics.jax.org/mtbwi/redirect.do?url=tumorFrequencyGrid.do?organKey%3d40%26currentOrganKey%3d%26amp;strainFamilyKey%3d%26amp;currentStrainFamilyKey%3d" TargetMode="External"/><Relationship Id="rId76" Type="http://schemas.openxmlformats.org/officeDocument/2006/relationships/image" Target="../media/image51.png"/><Relationship Id="rId97" Type="http://schemas.openxmlformats.org/officeDocument/2006/relationships/hyperlink" Target="http://www.tumor.informatics.jax.org/mtbwi/redirect.do?url=tumorFrequencyGrid.do?organKey%3d%26amp;currentOrganKey%3d%26amp;strainFamilyKey%3d27%26amp;currentStrainFamilyKey%3d" TargetMode="External"/><Relationship Id="rId104" Type="http://schemas.openxmlformats.org/officeDocument/2006/relationships/hyperlink" Target="http://www.tumor.informatics.jax.org/mtbwi/redirect.do?url=tumorFrequencyGrid.do?organKey%3d%26amp;currentOrganKey%3d%26amp;strainFamilyKey%3d83%26amp;currentStrainFamilyKey%3d" TargetMode="External"/><Relationship Id="rId7" Type="http://schemas.openxmlformats.org/officeDocument/2006/relationships/image" Target="../media/image6.png"/><Relationship Id="rId71" Type="http://schemas.openxmlformats.org/officeDocument/2006/relationships/hyperlink" Target="http://www.tumor.informatics.jax.org/mtbwi/redirect.do?url=tumorFrequencyGrid.do?organKey%3d108%26currentOrganKey%3d%26amp;strainFamilyKey%3d%26amp;currentStrainFamilyKey%3d" TargetMode="External"/><Relationship Id="rId92" Type="http://schemas.openxmlformats.org/officeDocument/2006/relationships/hyperlink" Target="http://www.tumor.informatics.jax.org/mtbwi/redirect.do?url=tumorFrequencyGrid.do?organKey%3d%26amp;currentOrganKey%3d%26amp;strainFamilyKey%3d87%26amp;currentStrainFamilyKey%3d" TargetMode="External"/><Relationship Id="rId2" Type="http://schemas.openxmlformats.org/officeDocument/2006/relationships/image" Target="../media/image2.png"/><Relationship Id="rId29" Type="http://schemas.openxmlformats.org/officeDocument/2006/relationships/hyperlink" Target="http://www.tumor.informatics.jax.org/mtbwi/redirect.do?url=tumorFrequencyGrid.do?organKey%3d60%26currentOrganKey%3d%26amp;strainFamilyKey%3d%26amp;currentStrainFamilyKey%3d" TargetMode="External"/><Relationship Id="rId24" Type="http://schemas.openxmlformats.org/officeDocument/2006/relationships/image" Target="../media/image16.png"/><Relationship Id="rId40" Type="http://schemas.openxmlformats.org/officeDocument/2006/relationships/image" Target="../media/image26.png"/><Relationship Id="rId45" Type="http://schemas.openxmlformats.org/officeDocument/2006/relationships/image" Target="../media/image30.png"/><Relationship Id="rId66" Type="http://schemas.openxmlformats.org/officeDocument/2006/relationships/image" Target="../media/image44.png"/><Relationship Id="rId87" Type="http://schemas.openxmlformats.org/officeDocument/2006/relationships/hyperlink" Target="http://www.tumor.informatics.jax.org/mtbwi/redirect.do?url=tumorFrequencyGrid.do?organKey%3d%26amp;currentOrganKey%3d%26amp;strainFamilyKey%3d44%26amp;currentStrainFamilyKey%3d" TargetMode="External"/><Relationship Id="rId110" Type="http://schemas.openxmlformats.org/officeDocument/2006/relationships/image" Target="../media/image57.png"/><Relationship Id="rId61" Type="http://schemas.openxmlformats.org/officeDocument/2006/relationships/hyperlink" Target="http://www.tumor.informatics.jax.org/mtbwi/redirect.do?url=tumorFrequencyGrid.do?organKey%3d71%26currentOrganKey%3d%26amp;strainFamilyKey%3d%26amp;currentStrainFamilyKey%3d" TargetMode="External"/><Relationship Id="rId82" Type="http://schemas.openxmlformats.org/officeDocument/2006/relationships/hyperlink" Target="http://www.tumor.informatics.jax.org/mtbwi/redirect.do?url=tumorFrequencyGrid.do?organKey%3d%26amp;currentOrganKey%3d%26amp;strainFamilyKey%3d12%26amp;currentStrainFamilyKey%3d" TargetMode="External"/><Relationship Id="rId19" Type="http://schemas.openxmlformats.org/officeDocument/2006/relationships/image" Target="../media/image13.png"/><Relationship Id="rId14" Type="http://schemas.openxmlformats.org/officeDocument/2006/relationships/image" Target="../media/image10.png"/><Relationship Id="rId30" Type="http://schemas.openxmlformats.org/officeDocument/2006/relationships/image" Target="../media/image19.png"/><Relationship Id="rId35" Type="http://schemas.openxmlformats.org/officeDocument/2006/relationships/image" Target="../media/image22.png"/><Relationship Id="rId56" Type="http://schemas.openxmlformats.org/officeDocument/2006/relationships/image" Target="../media/image38.png"/><Relationship Id="rId77" Type="http://schemas.openxmlformats.org/officeDocument/2006/relationships/image" Target="../media/image52.png"/><Relationship Id="rId100" Type="http://schemas.openxmlformats.org/officeDocument/2006/relationships/hyperlink" Target="http://www.tumor.informatics.jax.org/mtbwi/redirect.do?url=tumorFrequencyGrid.do?organKey%3d%26amp;currentOrganKey%3d%26amp;strainFamilyKey%3d126%26amp;currentStrainFamilyKey%3d" TargetMode="External"/><Relationship Id="rId105" Type="http://schemas.openxmlformats.org/officeDocument/2006/relationships/hyperlink" Target="http://www.tumor.informatics.jax.org/mtbwi/redirect.do?url=tumorFrequencyGrid.do?organKey%3d%26amp;currentOrganKey%3d%26amp;strainFamilyKey%3d100%26amp;currentStrainFamilyKey%3d" TargetMode="External"/><Relationship Id="rId8" Type="http://schemas.openxmlformats.org/officeDocument/2006/relationships/image" Target="../media/image7.png"/><Relationship Id="rId51" Type="http://schemas.openxmlformats.org/officeDocument/2006/relationships/image" Target="../media/image35.png"/><Relationship Id="rId72" Type="http://schemas.openxmlformats.org/officeDocument/2006/relationships/image" Target="../media/image48.png"/><Relationship Id="rId93" Type="http://schemas.openxmlformats.org/officeDocument/2006/relationships/hyperlink" Target="http://www.tumor.informatics.jax.org/mtbwi/redirect.do?url=tumorFrequencyGrid.do?organKey%3d%26amp;currentOrganKey%3d%26amp;strainFamilyKey%3d31%26amp;currentStrainFamilyKey%3d" TargetMode="External"/><Relationship Id="rId98" Type="http://schemas.openxmlformats.org/officeDocument/2006/relationships/hyperlink" Target="http://www.tumor.informatics.jax.org/mtbwi/redirect.do?url=tumorFrequencyGrid.do?organKey%3d%26amp;currentOrganKey%3d%26amp;strainFamilyKey%3d28%26amp;currentStrainFamilyKey%3d" TargetMode="External"/><Relationship Id="rId3" Type="http://schemas.openxmlformats.org/officeDocument/2006/relationships/image" Target="../media/image3.png"/><Relationship Id="rId25" Type="http://schemas.openxmlformats.org/officeDocument/2006/relationships/hyperlink" Target="http://www.tumor.informatics.jax.org/mtbwi/redirect.do?url=tumorFrequencyGrid.do?organKey%3d58%26currentOrganKey%3d%26amp;strainFamilyKey%3d%26amp;currentStrainFamilyKey%3d" TargetMode="External"/><Relationship Id="rId46" Type="http://schemas.openxmlformats.org/officeDocument/2006/relationships/image" Target="../media/image31.png"/><Relationship Id="rId67" Type="http://schemas.openxmlformats.org/officeDocument/2006/relationships/image" Target="../media/image45.png"/><Relationship Id="rId20" Type="http://schemas.openxmlformats.org/officeDocument/2006/relationships/hyperlink" Target="http://www.tumor.informatics.jax.org/mtbwi/redirect.do?url=tumorFrequencyGrid.do?organKey%3d159%26currentOrganKey%3d%26amp;strainFamilyKey%3d%26amp;currentStrainFamilyKey%3d" TargetMode="External"/><Relationship Id="rId41" Type="http://schemas.openxmlformats.org/officeDocument/2006/relationships/image" Target="../media/image27.png"/><Relationship Id="rId62" Type="http://schemas.openxmlformats.org/officeDocument/2006/relationships/image" Target="../media/image42.png"/><Relationship Id="rId83" Type="http://schemas.openxmlformats.org/officeDocument/2006/relationships/hyperlink" Target="http://www.tumor.informatics.jax.org/mtbwi/redirect.do?url=tumorFrequencyGrid.do?organKey%3d%26amp;currentOrganKey%3d%26amp;strainFamilyKey%3d4%26amp;currentStrainFamilyKey%3d" TargetMode="External"/><Relationship Id="rId88" Type="http://schemas.openxmlformats.org/officeDocument/2006/relationships/hyperlink" Target="http://www.tumor.informatics.jax.org/mtbwi/redirect.do?url=tumorFrequencyGrid.do?organKey%3d%26amp;currentOrganKey%3d%26amp;strainFamilyKey%3d58%26amp;currentStrainFamilyKey%3d" TargetMode="External"/><Relationship Id="rId111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117231</xdr:colOff>
      <xdr:row>1</xdr:row>
      <xdr:rowOff>342900</xdr:rowOff>
    </xdr:to>
    <xdr:pic>
      <xdr:nvPicPr>
        <xdr:cNvPr id="2" name="Picture 1" descr="X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86000"/>
          <a:ext cx="11430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95250</xdr:colOff>
      <xdr:row>1</xdr:row>
      <xdr:rowOff>95250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117230</xdr:colOff>
      <xdr:row>1</xdr:row>
      <xdr:rowOff>285750</xdr:rowOff>
    </xdr:to>
    <xdr:pic>
      <xdr:nvPicPr>
        <xdr:cNvPr id="4" name="Picture 3" descr="X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286000"/>
          <a:ext cx="114300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pic>
      <xdr:nvPicPr>
        <xdr:cNvPr id="5" name="Picture 4" descr="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117231</xdr:colOff>
      <xdr:row>1</xdr:row>
      <xdr:rowOff>371475</xdr:rowOff>
    </xdr:to>
    <xdr:pic>
      <xdr:nvPicPr>
        <xdr:cNvPr id="6" name="Picture 5" descr="X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2286000"/>
          <a:ext cx="11430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95250</xdr:colOff>
      <xdr:row>1</xdr:row>
      <xdr:rowOff>95250</xdr:rowOff>
    </xdr:to>
    <xdr:pic>
      <xdr:nvPicPr>
        <xdr:cNvPr id="7" name="Picture 6" descr=" 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117231</xdr:colOff>
      <xdr:row>1</xdr:row>
      <xdr:rowOff>295275</xdr:rowOff>
    </xdr:to>
    <xdr:pic>
      <xdr:nvPicPr>
        <xdr:cNvPr id="8" name="Picture 7" descr="X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2286000"/>
          <a:ext cx="1143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95250</xdr:colOff>
      <xdr:row>1</xdr:row>
      <xdr:rowOff>95250</xdr:rowOff>
    </xdr:to>
    <xdr:pic>
      <xdr:nvPicPr>
        <xdr:cNvPr id="9" name="Picture 8" descr=" 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95250</xdr:colOff>
      <xdr:row>1</xdr:row>
      <xdr:rowOff>95250</xdr:rowOff>
    </xdr:to>
    <xdr:pic>
      <xdr:nvPicPr>
        <xdr:cNvPr id="10" name="Picture 9" descr=" 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117231</xdr:colOff>
      <xdr:row>1</xdr:row>
      <xdr:rowOff>133350</xdr:rowOff>
    </xdr:to>
    <xdr:pic>
      <xdr:nvPicPr>
        <xdr:cNvPr id="11" name="Picture 10" descr="X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2286000"/>
          <a:ext cx="1143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95250</xdr:colOff>
      <xdr:row>1</xdr:row>
      <xdr:rowOff>95250</xdr:rowOff>
    </xdr:to>
    <xdr:pic>
      <xdr:nvPicPr>
        <xdr:cNvPr id="12" name="Picture 11" descr="+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117230</xdr:colOff>
      <xdr:row>1</xdr:row>
      <xdr:rowOff>171450</xdr:rowOff>
    </xdr:to>
    <xdr:pic>
      <xdr:nvPicPr>
        <xdr:cNvPr id="13" name="Picture 12" descr="X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86000"/>
          <a:ext cx="1143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95250</xdr:colOff>
      <xdr:row>1</xdr:row>
      <xdr:rowOff>95250</xdr:rowOff>
    </xdr:to>
    <xdr:pic>
      <xdr:nvPicPr>
        <xdr:cNvPr id="14" name="Picture 13" descr="+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117231</xdr:colOff>
      <xdr:row>1</xdr:row>
      <xdr:rowOff>19050</xdr:rowOff>
    </xdr:to>
    <xdr:pic>
      <xdr:nvPicPr>
        <xdr:cNvPr id="15" name="Picture 14" descr="X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8600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95250</xdr:colOff>
      <xdr:row>1</xdr:row>
      <xdr:rowOff>95250</xdr:rowOff>
    </xdr:to>
    <xdr:pic>
      <xdr:nvPicPr>
        <xdr:cNvPr id="16" name="Picture 15" descr="+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117231</xdr:colOff>
      <xdr:row>1</xdr:row>
      <xdr:rowOff>85725</xdr:rowOff>
    </xdr:to>
    <xdr:pic>
      <xdr:nvPicPr>
        <xdr:cNvPr id="17" name="Picture 16" descr="X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86000"/>
          <a:ext cx="1143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95250</xdr:colOff>
      <xdr:row>1</xdr:row>
      <xdr:rowOff>95250</xdr:rowOff>
    </xdr:to>
    <xdr:pic>
      <xdr:nvPicPr>
        <xdr:cNvPr id="18" name="Picture 17" descr="+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117231</xdr:colOff>
      <xdr:row>1</xdr:row>
      <xdr:rowOff>285750</xdr:rowOff>
    </xdr:to>
    <xdr:pic>
      <xdr:nvPicPr>
        <xdr:cNvPr id="19" name="Picture 18" descr="X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2286000"/>
          <a:ext cx="114300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95250</xdr:colOff>
      <xdr:row>1</xdr:row>
      <xdr:rowOff>95250</xdr:rowOff>
    </xdr:to>
    <xdr:pic>
      <xdr:nvPicPr>
        <xdr:cNvPr id="20" name="Picture 19" descr=" 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117230</xdr:colOff>
      <xdr:row>1</xdr:row>
      <xdr:rowOff>200025</xdr:rowOff>
    </xdr:to>
    <xdr:pic>
      <xdr:nvPicPr>
        <xdr:cNvPr id="21" name="Picture 20" descr="X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286000"/>
          <a:ext cx="1143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95250</xdr:colOff>
      <xdr:row>1</xdr:row>
      <xdr:rowOff>95250</xdr:rowOff>
    </xdr:to>
    <xdr:pic>
      <xdr:nvPicPr>
        <xdr:cNvPr id="22" name="Picture 21" descr="+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117231</xdr:colOff>
      <xdr:row>1</xdr:row>
      <xdr:rowOff>428625</xdr:rowOff>
    </xdr:to>
    <xdr:pic>
      <xdr:nvPicPr>
        <xdr:cNvPr id="23" name="Picture 22" descr="X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286000"/>
          <a:ext cx="1143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95250</xdr:colOff>
      <xdr:row>1</xdr:row>
      <xdr:rowOff>95250</xdr:rowOff>
    </xdr:to>
    <xdr:pic>
      <xdr:nvPicPr>
        <xdr:cNvPr id="24" name="Picture 23" descr="+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13</xdr:col>
      <xdr:colOff>117231</xdr:colOff>
      <xdr:row>1</xdr:row>
      <xdr:rowOff>180975</xdr:rowOff>
    </xdr:to>
    <xdr:pic>
      <xdr:nvPicPr>
        <xdr:cNvPr id="25" name="Picture 24" descr="X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2286000"/>
          <a:ext cx="1143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95250</xdr:colOff>
      <xdr:row>1</xdr:row>
      <xdr:rowOff>95250</xdr:rowOff>
    </xdr:to>
    <xdr:pic>
      <xdr:nvPicPr>
        <xdr:cNvPr id="26" name="Picture 25" descr="+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117231</xdr:colOff>
      <xdr:row>1</xdr:row>
      <xdr:rowOff>142875</xdr:rowOff>
    </xdr:to>
    <xdr:pic>
      <xdr:nvPicPr>
        <xdr:cNvPr id="27" name="Picture 26" descr="X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286000"/>
          <a:ext cx="1143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95250</xdr:colOff>
      <xdr:row>1</xdr:row>
      <xdr:rowOff>95250</xdr:rowOff>
    </xdr:to>
    <xdr:pic>
      <xdr:nvPicPr>
        <xdr:cNvPr id="28" name="Picture 27" descr=" 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15</xdr:col>
      <xdr:colOff>117230</xdr:colOff>
      <xdr:row>1</xdr:row>
      <xdr:rowOff>419100</xdr:rowOff>
    </xdr:to>
    <xdr:pic>
      <xdr:nvPicPr>
        <xdr:cNvPr id="29" name="Picture 28" descr="X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86000"/>
          <a:ext cx="11430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95250</xdr:colOff>
      <xdr:row>1</xdr:row>
      <xdr:rowOff>95250</xdr:rowOff>
    </xdr:to>
    <xdr:pic>
      <xdr:nvPicPr>
        <xdr:cNvPr id="30" name="Picture 29" descr="+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95250</xdr:colOff>
      <xdr:row>1</xdr:row>
      <xdr:rowOff>95250</xdr:rowOff>
    </xdr:to>
    <xdr:pic>
      <xdr:nvPicPr>
        <xdr:cNvPr id="31" name="Picture 30" descr=" 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17</xdr:col>
      <xdr:colOff>117231</xdr:colOff>
      <xdr:row>1</xdr:row>
      <xdr:rowOff>438150</xdr:rowOff>
    </xdr:to>
    <xdr:pic>
      <xdr:nvPicPr>
        <xdr:cNvPr id="32" name="Picture 31" descr="X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286000"/>
          <a:ext cx="1143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95250</xdr:colOff>
      <xdr:row>1</xdr:row>
      <xdr:rowOff>95250</xdr:rowOff>
    </xdr:to>
    <xdr:pic>
      <xdr:nvPicPr>
        <xdr:cNvPr id="33" name="Picture 32" descr="+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18</xdr:col>
      <xdr:colOff>117231</xdr:colOff>
      <xdr:row>1</xdr:row>
      <xdr:rowOff>428625</xdr:rowOff>
    </xdr:to>
    <xdr:pic>
      <xdr:nvPicPr>
        <xdr:cNvPr id="34" name="Picture 33" descr="X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2286000"/>
          <a:ext cx="1143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95250</xdr:colOff>
      <xdr:row>1</xdr:row>
      <xdr:rowOff>95250</xdr:rowOff>
    </xdr:to>
    <xdr:pic>
      <xdr:nvPicPr>
        <xdr:cNvPr id="35" name="Picture 34" descr="+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0</xdr:row>
      <xdr:rowOff>0</xdr:rowOff>
    </xdr:from>
    <xdr:to>
      <xdr:col>19</xdr:col>
      <xdr:colOff>117231</xdr:colOff>
      <xdr:row>1</xdr:row>
      <xdr:rowOff>85725</xdr:rowOff>
    </xdr:to>
    <xdr:pic>
      <xdr:nvPicPr>
        <xdr:cNvPr id="36" name="Picture 35" descr="X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286000"/>
          <a:ext cx="1143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95250</xdr:colOff>
      <xdr:row>1</xdr:row>
      <xdr:rowOff>95250</xdr:rowOff>
    </xdr:to>
    <xdr:pic>
      <xdr:nvPicPr>
        <xdr:cNvPr id="37" name="Picture 36" descr="+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20</xdr:col>
      <xdr:colOff>117230</xdr:colOff>
      <xdr:row>1</xdr:row>
      <xdr:rowOff>161925</xdr:rowOff>
    </xdr:to>
    <xdr:pic>
      <xdr:nvPicPr>
        <xdr:cNvPr id="38" name="Picture 37" descr="X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0" y="2286000"/>
          <a:ext cx="1143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95250</xdr:colOff>
      <xdr:row>1</xdr:row>
      <xdr:rowOff>95250</xdr:rowOff>
    </xdr:to>
    <xdr:pic>
      <xdr:nvPicPr>
        <xdr:cNvPr id="39" name="Picture 38" descr="+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0</xdr:row>
      <xdr:rowOff>0</xdr:rowOff>
    </xdr:from>
    <xdr:to>
      <xdr:col>21</xdr:col>
      <xdr:colOff>117231</xdr:colOff>
      <xdr:row>1</xdr:row>
      <xdr:rowOff>85725</xdr:rowOff>
    </xdr:to>
    <xdr:pic>
      <xdr:nvPicPr>
        <xdr:cNvPr id="40" name="Picture 39" descr="X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0" y="2286000"/>
          <a:ext cx="1143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95250</xdr:colOff>
      <xdr:row>1</xdr:row>
      <xdr:rowOff>95250</xdr:rowOff>
    </xdr:to>
    <xdr:pic>
      <xdr:nvPicPr>
        <xdr:cNvPr id="41" name="Picture 40" descr="+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0</xdr:row>
      <xdr:rowOff>0</xdr:rowOff>
    </xdr:from>
    <xdr:to>
      <xdr:col>22</xdr:col>
      <xdr:colOff>117231</xdr:colOff>
      <xdr:row>1</xdr:row>
      <xdr:rowOff>95250</xdr:rowOff>
    </xdr:to>
    <xdr:pic>
      <xdr:nvPicPr>
        <xdr:cNvPr id="42" name="Picture 41" descr="X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2286000"/>
          <a:ext cx="114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95250</xdr:colOff>
      <xdr:row>1</xdr:row>
      <xdr:rowOff>95250</xdr:rowOff>
    </xdr:to>
    <xdr:pic>
      <xdr:nvPicPr>
        <xdr:cNvPr id="43" name="Picture 42" descr=" 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0</xdr:row>
      <xdr:rowOff>0</xdr:rowOff>
    </xdr:from>
    <xdr:to>
      <xdr:col>23</xdr:col>
      <xdr:colOff>117231</xdr:colOff>
      <xdr:row>1</xdr:row>
      <xdr:rowOff>47625</xdr:rowOff>
    </xdr:to>
    <xdr:pic>
      <xdr:nvPicPr>
        <xdr:cNvPr id="44" name="Picture 43" descr="X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286000"/>
          <a:ext cx="11430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23</xdr:col>
      <xdr:colOff>95250</xdr:colOff>
      <xdr:row>1</xdr:row>
      <xdr:rowOff>95250</xdr:rowOff>
    </xdr:to>
    <xdr:pic>
      <xdr:nvPicPr>
        <xdr:cNvPr id="45" name="Picture 44" descr=" 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24</xdr:col>
      <xdr:colOff>117230</xdr:colOff>
      <xdr:row>1</xdr:row>
      <xdr:rowOff>504825</xdr:rowOff>
    </xdr:to>
    <xdr:pic>
      <xdr:nvPicPr>
        <xdr:cNvPr id="46" name="Picture 45" descr="X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2286000"/>
          <a:ext cx="1143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24</xdr:col>
      <xdr:colOff>95250</xdr:colOff>
      <xdr:row>1</xdr:row>
      <xdr:rowOff>95250</xdr:rowOff>
    </xdr:to>
    <xdr:pic>
      <xdr:nvPicPr>
        <xdr:cNvPr id="47" name="Picture 46" descr=" 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0</xdr:row>
      <xdr:rowOff>0</xdr:rowOff>
    </xdr:from>
    <xdr:to>
      <xdr:col>25</xdr:col>
      <xdr:colOff>117231</xdr:colOff>
      <xdr:row>0</xdr:row>
      <xdr:rowOff>152400</xdr:rowOff>
    </xdr:to>
    <xdr:pic>
      <xdr:nvPicPr>
        <xdr:cNvPr id="48" name="Picture 47" descr="X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286000"/>
          <a:ext cx="1143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</xdr:row>
      <xdr:rowOff>0</xdr:rowOff>
    </xdr:from>
    <xdr:to>
      <xdr:col>25</xdr:col>
      <xdr:colOff>95250</xdr:colOff>
      <xdr:row>1</xdr:row>
      <xdr:rowOff>95250</xdr:rowOff>
    </xdr:to>
    <xdr:pic>
      <xdr:nvPicPr>
        <xdr:cNvPr id="49" name="Picture 48" descr=" 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26</xdr:col>
      <xdr:colOff>117231</xdr:colOff>
      <xdr:row>1</xdr:row>
      <xdr:rowOff>0</xdr:rowOff>
    </xdr:to>
    <xdr:pic>
      <xdr:nvPicPr>
        <xdr:cNvPr id="50" name="Picture 49" descr="X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22860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</xdr:row>
      <xdr:rowOff>0</xdr:rowOff>
    </xdr:from>
    <xdr:to>
      <xdr:col>26</xdr:col>
      <xdr:colOff>95250</xdr:colOff>
      <xdr:row>1</xdr:row>
      <xdr:rowOff>95250</xdr:rowOff>
    </xdr:to>
    <xdr:pic>
      <xdr:nvPicPr>
        <xdr:cNvPr id="51" name="Picture 50" descr="+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372341</xdr:colOff>
      <xdr:row>0</xdr:row>
      <xdr:rowOff>0</xdr:rowOff>
    </xdr:from>
    <xdr:to>
      <xdr:col>27</xdr:col>
      <xdr:colOff>91254</xdr:colOff>
      <xdr:row>1</xdr:row>
      <xdr:rowOff>57150</xdr:rowOff>
    </xdr:to>
    <xdr:pic>
      <xdr:nvPicPr>
        <xdr:cNvPr id="52" name="Picture 51" descr="X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0955" y="0"/>
          <a:ext cx="117231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389659</xdr:colOff>
      <xdr:row>1</xdr:row>
      <xdr:rowOff>173182</xdr:rowOff>
    </xdr:from>
    <xdr:to>
      <xdr:col>27</xdr:col>
      <xdr:colOff>86591</xdr:colOff>
      <xdr:row>1</xdr:row>
      <xdr:rowOff>268432</xdr:rowOff>
    </xdr:to>
    <xdr:pic>
      <xdr:nvPicPr>
        <xdr:cNvPr id="53" name="Picture 52" descr=" 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8273" y="363682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0</xdr:row>
      <xdr:rowOff>0</xdr:rowOff>
    </xdr:from>
    <xdr:to>
      <xdr:col>28</xdr:col>
      <xdr:colOff>117230</xdr:colOff>
      <xdr:row>1</xdr:row>
      <xdr:rowOff>333375</xdr:rowOff>
    </xdr:to>
    <xdr:pic>
      <xdr:nvPicPr>
        <xdr:cNvPr id="54" name="Picture 53" descr="X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2286000"/>
          <a:ext cx="11430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</xdr:row>
      <xdr:rowOff>0</xdr:rowOff>
    </xdr:from>
    <xdr:to>
      <xdr:col>28</xdr:col>
      <xdr:colOff>95250</xdr:colOff>
      <xdr:row>1</xdr:row>
      <xdr:rowOff>95250</xdr:rowOff>
    </xdr:to>
    <xdr:pic>
      <xdr:nvPicPr>
        <xdr:cNvPr id="55" name="Picture 54" descr=" 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117231</xdr:colOff>
      <xdr:row>1</xdr:row>
      <xdr:rowOff>180975</xdr:rowOff>
    </xdr:to>
    <xdr:pic>
      <xdr:nvPicPr>
        <xdr:cNvPr id="56" name="Picture 55" descr="X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0" y="2286000"/>
          <a:ext cx="1143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</xdr:row>
      <xdr:rowOff>0</xdr:rowOff>
    </xdr:from>
    <xdr:to>
      <xdr:col>29</xdr:col>
      <xdr:colOff>95250</xdr:colOff>
      <xdr:row>1</xdr:row>
      <xdr:rowOff>95250</xdr:rowOff>
    </xdr:to>
    <xdr:pic>
      <xdr:nvPicPr>
        <xdr:cNvPr id="57" name="Picture 56" descr=" 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0</xdr:row>
      <xdr:rowOff>0</xdr:rowOff>
    </xdr:from>
    <xdr:to>
      <xdr:col>30</xdr:col>
      <xdr:colOff>117231</xdr:colOff>
      <xdr:row>1</xdr:row>
      <xdr:rowOff>266700</xdr:rowOff>
    </xdr:to>
    <xdr:pic>
      <xdr:nvPicPr>
        <xdr:cNvPr id="58" name="Picture 57" descr="X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0" y="2286000"/>
          <a:ext cx="11430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</xdr:row>
      <xdr:rowOff>0</xdr:rowOff>
    </xdr:from>
    <xdr:to>
      <xdr:col>30</xdr:col>
      <xdr:colOff>95250</xdr:colOff>
      <xdr:row>1</xdr:row>
      <xdr:rowOff>95250</xdr:rowOff>
    </xdr:to>
    <xdr:pic>
      <xdr:nvPicPr>
        <xdr:cNvPr id="59" name="Picture 58" descr="+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0</xdr:row>
      <xdr:rowOff>0</xdr:rowOff>
    </xdr:from>
    <xdr:to>
      <xdr:col>31</xdr:col>
      <xdr:colOff>117231</xdr:colOff>
      <xdr:row>1</xdr:row>
      <xdr:rowOff>504825</xdr:rowOff>
    </xdr:to>
    <xdr:pic>
      <xdr:nvPicPr>
        <xdr:cNvPr id="60" name="Picture 59" descr="X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0" y="2286000"/>
          <a:ext cx="1143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</xdr:row>
      <xdr:rowOff>0</xdr:rowOff>
    </xdr:from>
    <xdr:to>
      <xdr:col>31</xdr:col>
      <xdr:colOff>95250</xdr:colOff>
      <xdr:row>1</xdr:row>
      <xdr:rowOff>95250</xdr:rowOff>
    </xdr:to>
    <xdr:pic>
      <xdr:nvPicPr>
        <xdr:cNvPr id="61" name="Picture 60" descr=" 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0</xdr:row>
      <xdr:rowOff>0</xdr:rowOff>
    </xdr:from>
    <xdr:to>
      <xdr:col>32</xdr:col>
      <xdr:colOff>117231</xdr:colOff>
      <xdr:row>1</xdr:row>
      <xdr:rowOff>342900</xdr:rowOff>
    </xdr:to>
    <xdr:pic>
      <xdr:nvPicPr>
        <xdr:cNvPr id="62" name="Picture 61" descr="X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0" y="2286000"/>
          <a:ext cx="11430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32</xdr:col>
      <xdr:colOff>95250</xdr:colOff>
      <xdr:row>1</xdr:row>
      <xdr:rowOff>95250</xdr:rowOff>
    </xdr:to>
    <xdr:pic>
      <xdr:nvPicPr>
        <xdr:cNvPr id="63" name="Picture 62" descr=" 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0</xdr:row>
      <xdr:rowOff>0</xdr:rowOff>
    </xdr:from>
    <xdr:to>
      <xdr:col>33</xdr:col>
      <xdr:colOff>117230</xdr:colOff>
      <xdr:row>1</xdr:row>
      <xdr:rowOff>95250</xdr:rowOff>
    </xdr:to>
    <xdr:pic>
      <xdr:nvPicPr>
        <xdr:cNvPr id="64" name="Picture 63" descr="X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0" y="2286000"/>
          <a:ext cx="114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</xdr:row>
      <xdr:rowOff>0</xdr:rowOff>
    </xdr:from>
    <xdr:to>
      <xdr:col>33</xdr:col>
      <xdr:colOff>95250</xdr:colOff>
      <xdr:row>1</xdr:row>
      <xdr:rowOff>95250</xdr:rowOff>
    </xdr:to>
    <xdr:pic>
      <xdr:nvPicPr>
        <xdr:cNvPr id="65" name="Picture 64" descr=" 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0</xdr:row>
      <xdr:rowOff>0</xdr:rowOff>
    </xdr:from>
    <xdr:to>
      <xdr:col>34</xdr:col>
      <xdr:colOff>117231</xdr:colOff>
      <xdr:row>1</xdr:row>
      <xdr:rowOff>152400</xdr:rowOff>
    </xdr:to>
    <xdr:pic>
      <xdr:nvPicPr>
        <xdr:cNvPr id="66" name="Picture 65" descr="X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0" y="2286000"/>
          <a:ext cx="1143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</xdr:row>
      <xdr:rowOff>0</xdr:rowOff>
    </xdr:from>
    <xdr:to>
      <xdr:col>34</xdr:col>
      <xdr:colOff>95250</xdr:colOff>
      <xdr:row>1</xdr:row>
      <xdr:rowOff>95250</xdr:rowOff>
    </xdr:to>
    <xdr:pic>
      <xdr:nvPicPr>
        <xdr:cNvPr id="67" name="Picture 66" descr=" 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1</xdr:row>
      <xdr:rowOff>0</xdr:rowOff>
    </xdr:from>
    <xdr:to>
      <xdr:col>35</xdr:col>
      <xdr:colOff>95250</xdr:colOff>
      <xdr:row>1</xdr:row>
      <xdr:rowOff>95250</xdr:rowOff>
    </xdr:to>
    <xdr:pic>
      <xdr:nvPicPr>
        <xdr:cNvPr id="68" name="Picture 67" descr=" 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0</xdr:row>
      <xdr:rowOff>0</xdr:rowOff>
    </xdr:from>
    <xdr:to>
      <xdr:col>35</xdr:col>
      <xdr:colOff>117231</xdr:colOff>
      <xdr:row>1</xdr:row>
      <xdr:rowOff>428625</xdr:rowOff>
    </xdr:to>
    <xdr:pic>
      <xdr:nvPicPr>
        <xdr:cNvPr id="69" name="Picture 68" descr="X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0" y="2286000"/>
          <a:ext cx="1143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1</xdr:row>
      <xdr:rowOff>0</xdr:rowOff>
    </xdr:from>
    <xdr:to>
      <xdr:col>35</xdr:col>
      <xdr:colOff>95250</xdr:colOff>
      <xdr:row>1</xdr:row>
      <xdr:rowOff>95250</xdr:rowOff>
    </xdr:to>
    <xdr:pic>
      <xdr:nvPicPr>
        <xdr:cNvPr id="70" name="Picture 69" descr="+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0</xdr:row>
      <xdr:rowOff>0</xdr:rowOff>
    </xdr:from>
    <xdr:to>
      <xdr:col>36</xdr:col>
      <xdr:colOff>117230</xdr:colOff>
      <xdr:row>1</xdr:row>
      <xdr:rowOff>447675</xdr:rowOff>
    </xdr:to>
    <xdr:pic>
      <xdr:nvPicPr>
        <xdr:cNvPr id="71" name="Picture 70" descr="X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0" y="2286000"/>
          <a:ext cx="11430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95250</xdr:colOff>
      <xdr:row>1</xdr:row>
      <xdr:rowOff>95250</xdr:rowOff>
    </xdr:to>
    <xdr:pic>
      <xdr:nvPicPr>
        <xdr:cNvPr id="72" name="Picture 71" descr=" 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0</xdr:row>
      <xdr:rowOff>0</xdr:rowOff>
    </xdr:from>
    <xdr:to>
      <xdr:col>37</xdr:col>
      <xdr:colOff>117231</xdr:colOff>
      <xdr:row>1</xdr:row>
      <xdr:rowOff>38100</xdr:rowOff>
    </xdr:to>
    <xdr:pic>
      <xdr:nvPicPr>
        <xdr:cNvPr id="73" name="Picture 72" descr="X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286000"/>
          <a:ext cx="1143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</xdr:row>
      <xdr:rowOff>0</xdr:rowOff>
    </xdr:from>
    <xdr:to>
      <xdr:col>37</xdr:col>
      <xdr:colOff>95250</xdr:colOff>
      <xdr:row>1</xdr:row>
      <xdr:rowOff>95250</xdr:rowOff>
    </xdr:to>
    <xdr:pic>
      <xdr:nvPicPr>
        <xdr:cNvPr id="74" name="Picture 73" descr="+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</xdr:row>
      <xdr:rowOff>0</xdr:rowOff>
    </xdr:from>
    <xdr:to>
      <xdr:col>38</xdr:col>
      <xdr:colOff>95250</xdr:colOff>
      <xdr:row>1</xdr:row>
      <xdr:rowOff>95250</xdr:rowOff>
    </xdr:to>
    <xdr:pic>
      <xdr:nvPicPr>
        <xdr:cNvPr id="76" name="Picture 75" descr=" 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0</xdr:row>
      <xdr:rowOff>0</xdr:rowOff>
    </xdr:from>
    <xdr:to>
      <xdr:col>38</xdr:col>
      <xdr:colOff>117231</xdr:colOff>
      <xdr:row>1</xdr:row>
      <xdr:rowOff>323850</xdr:rowOff>
    </xdr:to>
    <xdr:pic>
      <xdr:nvPicPr>
        <xdr:cNvPr id="77" name="Picture 76" descr="X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0" y="2286000"/>
          <a:ext cx="11430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</xdr:row>
      <xdr:rowOff>0</xdr:rowOff>
    </xdr:from>
    <xdr:to>
      <xdr:col>38</xdr:col>
      <xdr:colOff>95250</xdr:colOff>
      <xdr:row>1</xdr:row>
      <xdr:rowOff>95250</xdr:rowOff>
    </xdr:to>
    <xdr:pic>
      <xdr:nvPicPr>
        <xdr:cNvPr id="78" name="Picture 77" descr="+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0</xdr:row>
      <xdr:rowOff>0</xdr:rowOff>
    </xdr:from>
    <xdr:to>
      <xdr:col>39</xdr:col>
      <xdr:colOff>117230</xdr:colOff>
      <xdr:row>1</xdr:row>
      <xdr:rowOff>504825</xdr:rowOff>
    </xdr:to>
    <xdr:pic>
      <xdr:nvPicPr>
        <xdr:cNvPr id="79" name="Picture 78" descr="X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0" y="2286000"/>
          <a:ext cx="1143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1</xdr:row>
      <xdr:rowOff>0</xdr:rowOff>
    </xdr:from>
    <xdr:to>
      <xdr:col>39</xdr:col>
      <xdr:colOff>95250</xdr:colOff>
      <xdr:row>1</xdr:row>
      <xdr:rowOff>95250</xdr:rowOff>
    </xdr:to>
    <xdr:pic>
      <xdr:nvPicPr>
        <xdr:cNvPr id="80" name="Picture 79" descr=" 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1</xdr:row>
      <xdr:rowOff>0</xdr:rowOff>
    </xdr:from>
    <xdr:to>
      <xdr:col>40</xdr:col>
      <xdr:colOff>95250</xdr:colOff>
      <xdr:row>1</xdr:row>
      <xdr:rowOff>95250</xdr:rowOff>
    </xdr:to>
    <xdr:pic>
      <xdr:nvPicPr>
        <xdr:cNvPr id="85" name="Picture 84" descr=" 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1</xdr:row>
      <xdr:rowOff>0</xdr:rowOff>
    </xdr:from>
    <xdr:to>
      <xdr:col>41</xdr:col>
      <xdr:colOff>95250</xdr:colOff>
      <xdr:row>1</xdr:row>
      <xdr:rowOff>95250</xdr:rowOff>
    </xdr:to>
    <xdr:pic>
      <xdr:nvPicPr>
        <xdr:cNvPr id="86" name="Picture 85" descr=" 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0</xdr:row>
      <xdr:rowOff>0</xdr:rowOff>
    </xdr:from>
    <xdr:to>
      <xdr:col>42</xdr:col>
      <xdr:colOff>117230</xdr:colOff>
      <xdr:row>1</xdr:row>
      <xdr:rowOff>28575</xdr:rowOff>
    </xdr:to>
    <xdr:pic>
      <xdr:nvPicPr>
        <xdr:cNvPr id="87" name="Picture 86" descr="X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0" y="2286000"/>
          <a:ext cx="1143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1</xdr:row>
      <xdr:rowOff>0</xdr:rowOff>
    </xdr:from>
    <xdr:to>
      <xdr:col>42</xdr:col>
      <xdr:colOff>95250</xdr:colOff>
      <xdr:row>1</xdr:row>
      <xdr:rowOff>95250</xdr:rowOff>
    </xdr:to>
    <xdr:pic>
      <xdr:nvPicPr>
        <xdr:cNvPr id="88" name="Picture 87" descr="+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0</xdr:row>
      <xdr:rowOff>0</xdr:rowOff>
    </xdr:from>
    <xdr:to>
      <xdr:col>43</xdr:col>
      <xdr:colOff>117231</xdr:colOff>
      <xdr:row>1</xdr:row>
      <xdr:rowOff>457200</xdr:rowOff>
    </xdr:to>
    <xdr:pic>
      <xdr:nvPicPr>
        <xdr:cNvPr id="89" name="Picture 88" descr="X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286000"/>
          <a:ext cx="11430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</xdr:row>
      <xdr:rowOff>0</xdr:rowOff>
    </xdr:from>
    <xdr:to>
      <xdr:col>43</xdr:col>
      <xdr:colOff>95250</xdr:colOff>
      <xdr:row>1</xdr:row>
      <xdr:rowOff>95250</xdr:rowOff>
    </xdr:to>
    <xdr:pic>
      <xdr:nvPicPr>
        <xdr:cNvPr id="90" name="Picture 89" descr=" 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0</xdr:row>
      <xdr:rowOff>0</xdr:rowOff>
    </xdr:from>
    <xdr:to>
      <xdr:col>44</xdr:col>
      <xdr:colOff>117231</xdr:colOff>
      <xdr:row>1</xdr:row>
      <xdr:rowOff>28575</xdr:rowOff>
    </xdr:to>
    <xdr:pic>
      <xdr:nvPicPr>
        <xdr:cNvPr id="91" name="Picture 90" descr="X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0" y="2286000"/>
          <a:ext cx="1143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1</xdr:row>
      <xdr:rowOff>0</xdr:rowOff>
    </xdr:from>
    <xdr:to>
      <xdr:col>44</xdr:col>
      <xdr:colOff>95250</xdr:colOff>
      <xdr:row>1</xdr:row>
      <xdr:rowOff>95250</xdr:rowOff>
    </xdr:to>
    <xdr:pic>
      <xdr:nvPicPr>
        <xdr:cNvPr id="92" name="Picture 91" descr="+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0</xdr:row>
      <xdr:rowOff>0</xdr:rowOff>
    </xdr:from>
    <xdr:to>
      <xdr:col>45</xdr:col>
      <xdr:colOff>117231</xdr:colOff>
      <xdr:row>1</xdr:row>
      <xdr:rowOff>419100</xdr:rowOff>
    </xdr:to>
    <xdr:pic>
      <xdr:nvPicPr>
        <xdr:cNvPr id="93" name="Picture 92" descr="X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0" y="2286000"/>
          <a:ext cx="11430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</xdr:row>
      <xdr:rowOff>0</xdr:rowOff>
    </xdr:from>
    <xdr:to>
      <xdr:col>45</xdr:col>
      <xdr:colOff>95250</xdr:colOff>
      <xdr:row>1</xdr:row>
      <xdr:rowOff>95250</xdr:rowOff>
    </xdr:to>
    <xdr:pic>
      <xdr:nvPicPr>
        <xdr:cNvPr id="94" name="Picture 93" descr="+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0</xdr:row>
      <xdr:rowOff>0</xdr:rowOff>
    </xdr:from>
    <xdr:to>
      <xdr:col>46</xdr:col>
      <xdr:colOff>117230</xdr:colOff>
      <xdr:row>1</xdr:row>
      <xdr:rowOff>562841</xdr:rowOff>
    </xdr:to>
    <xdr:pic>
      <xdr:nvPicPr>
        <xdr:cNvPr id="95" name="Picture 94" descr="X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0" y="2286000"/>
          <a:ext cx="11430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1</xdr:row>
      <xdr:rowOff>0</xdr:rowOff>
    </xdr:from>
    <xdr:to>
      <xdr:col>46</xdr:col>
      <xdr:colOff>95250</xdr:colOff>
      <xdr:row>1</xdr:row>
      <xdr:rowOff>95250</xdr:rowOff>
    </xdr:to>
    <xdr:pic>
      <xdr:nvPicPr>
        <xdr:cNvPr id="96" name="Picture 95" descr="+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1</xdr:row>
      <xdr:rowOff>0</xdr:rowOff>
    </xdr:from>
    <xdr:to>
      <xdr:col>47</xdr:col>
      <xdr:colOff>95250</xdr:colOff>
      <xdr:row>1</xdr:row>
      <xdr:rowOff>95250</xdr:rowOff>
    </xdr:to>
    <xdr:pic>
      <xdr:nvPicPr>
        <xdr:cNvPr id="97" name="Picture 96" descr=" 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0</xdr:row>
      <xdr:rowOff>0</xdr:rowOff>
    </xdr:from>
    <xdr:to>
      <xdr:col>48</xdr:col>
      <xdr:colOff>117231</xdr:colOff>
      <xdr:row>1</xdr:row>
      <xdr:rowOff>342900</xdr:rowOff>
    </xdr:to>
    <xdr:pic>
      <xdr:nvPicPr>
        <xdr:cNvPr id="98" name="Picture 97" descr="X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0" y="2286000"/>
          <a:ext cx="11430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1</xdr:row>
      <xdr:rowOff>0</xdr:rowOff>
    </xdr:from>
    <xdr:to>
      <xdr:col>48</xdr:col>
      <xdr:colOff>95250</xdr:colOff>
      <xdr:row>1</xdr:row>
      <xdr:rowOff>95250</xdr:rowOff>
    </xdr:to>
    <xdr:pic>
      <xdr:nvPicPr>
        <xdr:cNvPr id="99" name="Picture 98" descr=" 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0</xdr:row>
      <xdr:rowOff>0</xdr:rowOff>
    </xdr:from>
    <xdr:to>
      <xdr:col>49</xdr:col>
      <xdr:colOff>117231</xdr:colOff>
      <xdr:row>1</xdr:row>
      <xdr:rowOff>95250</xdr:rowOff>
    </xdr:to>
    <xdr:pic>
      <xdr:nvPicPr>
        <xdr:cNvPr id="100" name="Picture 99" descr="X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2286000"/>
          <a:ext cx="114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1</xdr:row>
      <xdr:rowOff>0</xdr:rowOff>
    </xdr:from>
    <xdr:to>
      <xdr:col>49</xdr:col>
      <xdr:colOff>95250</xdr:colOff>
      <xdr:row>1</xdr:row>
      <xdr:rowOff>95250</xdr:rowOff>
    </xdr:to>
    <xdr:pic>
      <xdr:nvPicPr>
        <xdr:cNvPr id="101" name="Picture 100" descr="+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0</xdr:row>
      <xdr:rowOff>0</xdr:rowOff>
    </xdr:from>
    <xdr:to>
      <xdr:col>50</xdr:col>
      <xdr:colOff>117230</xdr:colOff>
      <xdr:row>1</xdr:row>
      <xdr:rowOff>552450</xdr:rowOff>
    </xdr:to>
    <xdr:pic>
      <xdr:nvPicPr>
        <xdr:cNvPr id="102" name="Picture 101" descr="X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0" y="2286000"/>
          <a:ext cx="114300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</xdr:row>
      <xdr:rowOff>0</xdr:rowOff>
    </xdr:from>
    <xdr:to>
      <xdr:col>50</xdr:col>
      <xdr:colOff>95250</xdr:colOff>
      <xdr:row>1</xdr:row>
      <xdr:rowOff>95250</xdr:rowOff>
    </xdr:to>
    <xdr:pic>
      <xdr:nvPicPr>
        <xdr:cNvPr id="103" name="Picture 102" descr=" 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0</xdr:row>
      <xdr:rowOff>0</xdr:rowOff>
    </xdr:from>
    <xdr:to>
      <xdr:col>51</xdr:col>
      <xdr:colOff>117231</xdr:colOff>
      <xdr:row>0</xdr:row>
      <xdr:rowOff>161925</xdr:rowOff>
    </xdr:to>
    <xdr:pic>
      <xdr:nvPicPr>
        <xdr:cNvPr id="106" name="Picture 105" descr="X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00" y="2286000"/>
          <a:ext cx="1143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</xdr:row>
      <xdr:rowOff>0</xdr:rowOff>
    </xdr:from>
    <xdr:to>
      <xdr:col>51</xdr:col>
      <xdr:colOff>95250</xdr:colOff>
      <xdr:row>1</xdr:row>
      <xdr:rowOff>95250</xdr:rowOff>
    </xdr:to>
    <xdr:pic>
      <xdr:nvPicPr>
        <xdr:cNvPr id="107" name="Picture 106" descr="+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0</xdr:row>
      <xdr:rowOff>0</xdr:rowOff>
    </xdr:from>
    <xdr:to>
      <xdr:col>52</xdr:col>
      <xdr:colOff>117231</xdr:colOff>
      <xdr:row>1</xdr:row>
      <xdr:rowOff>104775</xdr:rowOff>
    </xdr:to>
    <xdr:pic>
      <xdr:nvPicPr>
        <xdr:cNvPr id="110" name="Picture 109" descr="X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0" y="2286000"/>
          <a:ext cx="1143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1</xdr:row>
      <xdr:rowOff>0</xdr:rowOff>
    </xdr:from>
    <xdr:to>
      <xdr:col>52</xdr:col>
      <xdr:colOff>95250</xdr:colOff>
      <xdr:row>1</xdr:row>
      <xdr:rowOff>95250</xdr:rowOff>
    </xdr:to>
    <xdr:pic>
      <xdr:nvPicPr>
        <xdr:cNvPr id="111" name="Picture 110" descr="+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0</xdr:row>
      <xdr:rowOff>0</xdr:rowOff>
    </xdr:from>
    <xdr:to>
      <xdr:col>53</xdr:col>
      <xdr:colOff>117230</xdr:colOff>
      <xdr:row>1</xdr:row>
      <xdr:rowOff>314325</xdr:rowOff>
    </xdr:to>
    <xdr:pic>
      <xdr:nvPicPr>
        <xdr:cNvPr id="112" name="Picture 111" descr="X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0" y="2286000"/>
          <a:ext cx="114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</xdr:row>
      <xdr:rowOff>0</xdr:rowOff>
    </xdr:from>
    <xdr:to>
      <xdr:col>53</xdr:col>
      <xdr:colOff>95250</xdr:colOff>
      <xdr:row>1</xdr:row>
      <xdr:rowOff>95250</xdr:rowOff>
    </xdr:to>
    <xdr:pic>
      <xdr:nvPicPr>
        <xdr:cNvPr id="113" name="Picture 112" descr=" 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0</xdr:row>
      <xdr:rowOff>0</xdr:rowOff>
    </xdr:from>
    <xdr:to>
      <xdr:col>54</xdr:col>
      <xdr:colOff>117231</xdr:colOff>
      <xdr:row>1</xdr:row>
      <xdr:rowOff>76200</xdr:rowOff>
    </xdr:to>
    <xdr:pic>
      <xdr:nvPicPr>
        <xdr:cNvPr id="114" name="Picture 113" descr="X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0" y="2286000"/>
          <a:ext cx="1143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1</xdr:row>
      <xdr:rowOff>0</xdr:rowOff>
    </xdr:from>
    <xdr:to>
      <xdr:col>54</xdr:col>
      <xdr:colOff>95250</xdr:colOff>
      <xdr:row>1</xdr:row>
      <xdr:rowOff>95250</xdr:rowOff>
    </xdr:to>
    <xdr:pic>
      <xdr:nvPicPr>
        <xdr:cNvPr id="115" name="Picture 114" descr=" 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117231</xdr:colOff>
      <xdr:row>1</xdr:row>
      <xdr:rowOff>495300</xdr:rowOff>
    </xdr:to>
    <xdr:pic>
      <xdr:nvPicPr>
        <xdr:cNvPr id="116" name="Picture 115" descr="X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2286000"/>
          <a:ext cx="114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1</xdr:row>
      <xdr:rowOff>0</xdr:rowOff>
    </xdr:from>
    <xdr:to>
      <xdr:col>55</xdr:col>
      <xdr:colOff>95250</xdr:colOff>
      <xdr:row>1</xdr:row>
      <xdr:rowOff>95250</xdr:rowOff>
    </xdr:to>
    <xdr:pic>
      <xdr:nvPicPr>
        <xdr:cNvPr id="117" name="Picture 116" descr=" 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18" name="Picture 117" descr="+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19" name="Picture 118" descr="+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20" name="Picture 119" descr="+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21" name="Picture 120" descr="+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22" name="Picture 121" descr="+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23" name="Picture 122" descr="+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24" name="Picture 123" descr="+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25" name="Picture 124" descr="+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26" name="Picture 125" descr="+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27" name="Picture 126" descr="+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28" name="Picture 127" descr="+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29" name="Picture 128" descr="+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30" name="Picture 129" descr="+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31" name="Picture 130" descr="+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32" name="Picture 131" descr="+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33" name="Picture 132" descr="+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34" name="Picture 133" descr="+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35" name="Picture 134" descr="+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36" name="Picture 135" descr="+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37" name="Picture 136" descr="+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38" name="Picture 137" descr="+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39" name="Picture 138" descr="+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40" name="Picture 139" descr="+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41" name="Picture 140" descr="+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43" name="Picture 142" descr="+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44" name="Picture 143" descr="+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45" name="Picture 144" descr="+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</xdr:colOff>
      <xdr:row>11</xdr:row>
      <xdr:rowOff>95250</xdr:rowOff>
    </xdr:to>
    <xdr:pic>
      <xdr:nvPicPr>
        <xdr:cNvPr id="146" name="Picture 145" descr="+">
          <a:hlinkClick xmlns:r="http://schemas.openxmlformats.org/officeDocument/2006/relationships" r:id="rId106"/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95250</xdr:colOff>
      <xdr:row>22</xdr:row>
      <xdr:rowOff>95250</xdr:rowOff>
    </xdr:to>
    <xdr:pic>
      <xdr:nvPicPr>
        <xdr:cNvPr id="153" name="Picture 152" descr=" 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6290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17319</xdr:colOff>
      <xdr:row>0</xdr:row>
      <xdr:rowOff>25977</xdr:rowOff>
    </xdr:from>
    <xdr:to>
      <xdr:col>5</xdr:col>
      <xdr:colOff>131619</xdr:colOff>
      <xdr:row>1</xdr:row>
      <xdr:rowOff>692727</xdr:rowOff>
    </xdr:to>
    <xdr:pic>
      <xdr:nvPicPr>
        <xdr:cNvPr id="154" name="Picture 153" descr="X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1" y="25977"/>
          <a:ext cx="11430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8659</xdr:colOff>
      <xdr:row>0</xdr:row>
      <xdr:rowOff>0</xdr:rowOff>
    </xdr:from>
    <xdr:to>
      <xdr:col>16</xdr:col>
      <xdr:colOff>122959</xdr:colOff>
      <xdr:row>1</xdr:row>
      <xdr:rowOff>581025</xdr:rowOff>
    </xdr:to>
    <xdr:pic>
      <xdr:nvPicPr>
        <xdr:cNvPr id="155" name="Picture 154" descr="X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6364" y="0"/>
          <a:ext cx="11430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17317</xdr:colOff>
      <xdr:row>0</xdr:row>
      <xdr:rowOff>8659</xdr:rowOff>
    </xdr:from>
    <xdr:to>
      <xdr:col>40</xdr:col>
      <xdr:colOff>131617</xdr:colOff>
      <xdr:row>1</xdr:row>
      <xdr:rowOff>656359</xdr:rowOff>
    </xdr:to>
    <xdr:pic>
      <xdr:nvPicPr>
        <xdr:cNvPr id="157" name="Picture 156" descr="X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8840" y="8659"/>
          <a:ext cx="1143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17318</xdr:colOff>
      <xdr:row>0</xdr:row>
      <xdr:rowOff>17318</xdr:rowOff>
    </xdr:from>
    <xdr:to>
      <xdr:col>41</xdr:col>
      <xdr:colOff>131618</xdr:colOff>
      <xdr:row>1</xdr:row>
      <xdr:rowOff>665018</xdr:rowOff>
    </xdr:to>
    <xdr:pic>
      <xdr:nvPicPr>
        <xdr:cNvPr id="158" name="Picture 157" descr="X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3977" y="17318"/>
          <a:ext cx="1143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8659</xdr:colOff>
      <xdr:row>0</xdr:row>
      <xdr:rowOff>17318</xdr:rowOff>
    </xdr:from>
    <xdr:to>
      <xdr:col>47</xdr:col>
      <xdr:colOff>122959</xdr:colOff>
      <xdr:row>1</xdr:row>
      <xdr:rowOff>941243</xdr:rowOff>
    </xdr:to>
    <xdr:pic>
      <xdr:nvPicPr>
        <xdr:cNvPr id="159" name="Picture 158" descr="X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36136" y="17318"/>
          <a:ext cx="114300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tumor.informatics.jax.org/mtbwi/tumorSummary.do?strainKey=164&amp;organOfOriginKey=246&amp;tumorFrequencyKeys=75007,75008,75009,75340,75341,75342,75730,75731,75732,76141,76142,76143" TargetMode="External"/><Relationship Id="rId21" Type="http://schemas.openxmlformats.org/officeDocument/2006/relationships/hyperlink" Target="http://tumor.informatics.jax.org/mtbwi/tumorSummary.do?strainKey=9064&amp;organOfOriginKey=4&amp;tumorFrequencyKeys=97549,97744" TargetMode="External"/><Relationship Id="rId63" Type="http://schemas.openxmlformats.org/officeDocument/2006/relationships/hyperlink" Target="http://tumor.informatics.jax.org/mtbwi/tumorSummary.do?strainKey=164&amp;organOfOriginKey=12&amp;tumorFrequencyKeys=74834,74835,74836,75161,75162,75163,75514,75515,75516,75894,75895,75896" TargetMode="External"/><Relationship Id="rId159" Type="http://schemas.openxmlformats.org/officeDocument/2006/relationships/hyperlink" Target="http://tumor.informatics.jax.org/mtbwi/tumorSummary.do?strainKey=164&amp;organOfOriginKey=26&amp;tumorFrequencyKeys=10995,11286,44329,44330,44366,44367" TargetMode="External"/><Relationship Id="rId170" Type="http://schemas.openxmlformats.org/officeDocument/2006/relationships/hyperlink" Target="http://tumor.informatics.jax.org/mtbwi/tumorSummary.do?strainKey=164&amp;organOfOriginKey=4&amp;tumorFrequencyKeys=10918,10924,30472,30494,37547,74973,74974,74975,75290,75291,75292,75698,75699,75700,76091,76092,76093,80312,80313,80314,80315,80316,80317,80318,80319,80320,80321,80322,80323,80324,80325,80326,80327,80328,80329,80330,80331,80332,80333,80334,80335,80336,80337,80338,80339,80340,80341,80342,80343,80344,80345,80346,80347,80348,80349,80350,80351,80352,80353,80354,80355,80356,80357,80358,80359,80660,80661,80662,80663,80664,80665,80666,80667,80668,80669,80670,80671,80672,80673,80674" TargetMode="External"/><Relationship Id="rId226" Type="http://schemas.openxmlformats.org/officeDocument/2006/relationships/hyperlink" Target="http://tumor.informatics.jax.org/mtbwi/tumorSummary.do?strainKey=164&amp;organOfOriginKey=118&amp;tumorFrequencyKeys=44350,44402" TargetMode="External"/><Relationship Id="rId268" Type="http://schemas.openxmlformats.org/officeDocument/2006/relationships/hyperlink" Target="http://tumor.informatics.jax.org/mtbwi/tumorSummary.do?strainKey=164&amp;organOfOriginKey=180&amp;tumorFrequencyKeys=74692,74693,74694,75041,75042,75043,75382,75764,75765,75766" TargetMode="External"/><Relationship Id="rId32" Type="http://schemas.openxmlformats.org/officeDocument/2006/relationships/hyperlink" Target="http://tumor.informatics.jax.org/mtbwi/tumorSummary.do?strainKey=164&amp;organOfOriginKey=510&amp;tumorFrequencyKeys=74787,74788,74789,75118,75119,75120,75465,75845,75846,75847" TargetMode="External"/><Relationship Id="rId74" Type="http://schemas.openxmlformats.org/officeDocument/2006/relationships/hyperlink" Target="http://tumor.informatics.jax.org/mtbwi/tumorSummary.do?strainKey=164&amp;organOfOriginKey=12&amp;tumorFrequencyKeys=75014,75347,75348,75349,75735,76146" TargetMode="External"/><Relationship Id="rId128" Type="http://schemas.openxmlformats.org/officeDocument/2006/relationships/hyperlink" Target="http://tumor.informatics.jax.org/mtbwi/tumorSummary.do?strainKey=164&amp;organOfOriginKey=131&amp;tumorFrequencyKeys=74870,75199,75548,75940,75941,75942" TargetMode="External"/><Relationship Id="rId5" Type="http://schemas.openxmlformats.org/officeDocument/2006/relationships/hyperlink" Target="http://tumor.informatics.jax.org/mtbwi/tumorSummary.do?strainKey=9064&amp;organOfOriginKey=13&amp;tumorFrequencyKeys=97551" TargetMode="External"/><Relationship Id="rId181" Type="http://schemas.openxmlformats.org/officeDocument/2006/relationships/hyperlink" Target="http://tumor.informatics.jax.org/mtbwi/tumorSummary.do?strainKey=164&amp;organOfOriginKey=2&amp;tumorFrequencyKeys=74848,75175,75176,75177,75522,75908" TargetMode="External"/><Relationship Id="rId237" Type="http://schemas.openxmlformats.org/officeDocument/2006/relationships/hyperlink" Target="http://tumor.informatics.jax.org/mtbwi/tumorSummary.do?strainKey=164&amp;organOfOriginKey=122&amp;tumorFrequencyKeys=10925" TargetMode="External"/><Relationship Id="rId258" Type="http://schemas.openxmlformats.org/officeDocument/2006/relationships/hyperlink" Target="http://tumor.informatics.jax.org/mtbwi/tumorSummary.do?strainKey=164&amp;organOfOriginKey=16&amp;tumorFrequencyKeys=74713,74714,74715,75054,75395,75785" TargetMode="External"/><Relationship Id="rId22" Type="http://schemas.openxmlformats.org/officeDocument/2006/relationships/hyperlink" Target="http://tumor.informatics.jax.org/mtbwi/tumorSummary.do?strainKey=9064&amp;organOfOriginKey=5&amp;tumorFrequencyKeys=97748" TargetMode="External"/><Relationship Id="rId43" Type="http://schemas.openxmlformats.org/officeDocument/2006/relationships/hyperlink" Target="http://tumor.informatics.jax.org/mtbwi/tumorSummary.do?strainKey=164&amp;organOfOriginKey=12&amp;tumorFrequencyKeys=74777,74778,74779,75112,75453,75454,75455,75837" TargetMode="External"/><Relationship Id="rId64" Type="http://schemas.openxmlformats.org/officeDocument/2006/relationships/hyperlink" Target="http://tumor.informatics.jax.org/mtbwi/tumorSummary.do?strainKey=164&amp;organOfOriginKey=12&amp;tumorFrequencyKeys=74845,74846,74847,75172,75173,75174,75521,75907" TargetMode="External"/><Relationship Id="rId118" Type="http://schemas.openxmlformats.org/officeDocument/2006/relationships/hyperlink" Target="http://tumor.informatics.jax.org/mtbwi/tumorSummary.do?strainKey=164&amp;organOfOriginKey=36&amp;tumorFrequencyKeys=75010,75011,75012,75343,75733,76144" TargetMode="External"/><Relationship Id="rId139" Type="http://schemas.openxmlformats.org/officeDocument/2006/relationships/hyperlink" Target="http://tumor.informatics.jax.org/mtbwi/tumorSummary.do?strainKey=164&amp;organOfOriginKey=75&amp;tumorFrequencyKeys=74869,75198,75547,75937,75938,75939" TargetMode="External"/><Relationship Id="rId85" Type="http://schemas.openxmlformats.org/officeDocument/2006/relationships/hyperlink" Target="http://tumor.informatics.jax.org/mtbwi/tumorSummary.do?strainKey=164&amp;organOfOriginKey=51&amp;tumorFrequencyKeys=75619,76002" TargetMode="External"/><Relationship Id="rId150" Type="http://schemas.openxmlformats.org/officeDocument/2006/relationships/hyperlink" Target="http://tumor.informatics.jax.org/mtbwi/tumorSummary.do?strainKey=164&amp;organOfOriginKey=113&amp;tumorFrequencyKeys=30495" TargetMode="External"/><Relationship Id="rId171" Type="http://schemas.openxmlformats.org/officeDocument/2006/relationships/hyperlink" Target="http://tumor.informatics.jax.org/mtbwi/tumorSummary.do?strainKey=164&amp;organOfOriginKey=342&amp;tumorFrequencyKeys=30728" TargetMode="External"/><Relationship Id="rId192" Type="http://schemas.openxmlformats.org/officeDocument/2006/relationships/hyperlink" Target="http://tumor.informatics.jax.org/mtbwi/tumorSummary.do?strainKey=164&amp;organOfOriginKey=2&amp;tumorFrequencyKeys=75022,75357,75358,75359,75741,76150" TargetMode="External"/><Relationship Id="rId206" Type="http://schemas.openxmlformats.org/officeDocument/2006/relationships/hyperlink" Target="http://tumor.informatics.jax.org/mtbwi/tumorSummary.do?strainKey=164&amp;organOfOriginKey=97&amp;tumorFrequencyKeys=74709,75052,75393,75781,75782,75783" TargetMode="External"/><Relationship Id="rId227" Type="http://schemas.openxmlformats.org/officeDocument/2006/relationships/hyperlink" Target="http://tumor.informatics.jax.org/mtbwi/tumorSummary.do?strainKey=164&amp;organOfOriginKey=118&amp;tumorFrequencyKeys=80274,80450" TargetMode="External"/><Relationship Id="rId248" Type="http://schemas.openxmlformats.org/officeDocument/2006/relationships/hyperlink" Target="http://tumor.informatics.jax.org/mtbwi/tumorSummary.do?strainKey=164&amp;organOfOriginKey=50&amp;tumorFrequencyKeys=74877,74878,74879,75204,75553,75554,75555,75949" TargetMode="External"/><Relationship Id="rId269" Type="http://schemas.openxmlformats.org/officeDocument/2006/relationships/hyperlink" Target="http://tumor.informatics.jax.org/mtbwi/tumorSummary.do?strainKey=164&amp;organOfOriginKey=94&amp;tumorFrequencyKeys=75015,75016,75017,75350,75351,75352,75736,76147" TargetMode="External"/><Relationship Id="rId12" Type="http://schemas.openxmlformats.org/officeDocument/2006/relationships/hyperlink" Target="http://tumor.informatics.jax.org/mtbwi/tumorSummary.do?strainKey=9064&amp;organOfOriginKey=36&amp;tumorFrequencyKeys=97554" TargetMode="External"/><Relationship Id="rId33" Type="http://schemas.openxmlformats.org/officeDocument/2006/relationships/hyperlink" Target="http://tumor.informatics.jax.org/mtbwi/tumorSummary.do?strainKey=164&amp;organOfOriginKey=49&amp;tumorFrequencyKeys=44320,44355,74790,74791,74792,75121,75122,75123,75466,75467,75468,75848,75849,75850,80261,80437" TargetMode="External"/><Relationship Id="rId108" Type="http://schemas.openxmlformats.org/officeDocument/2006/relationships/hyperlink" Target="http://tumor.informatics.jax.org/mtbwi/tumorSummary.do?strainKey=164&amp;organOfOriginKey=15&amp;tumorFrequencyKeys=74706,74707,74708,75051,75392,75778,75779,75780,80257,80433" TargetMode="External"/><Relationship Id="rId129" Type="http://schemas.openxmlformats.org/officeDocument/2006/relationships/hyperlink" Target="http://tumor.informatics.jax.org/mtbwi/tumorSummary.do?strainKey=164&amp;organOfOriginKey=131&amp;tumorFrequencyKeys=74913,74914,74915,75234,75235,75236,75587,75976" TargetMode="External"/><Relationship Id="rId54" Type="http://schemas.openxmlformats.org/officeDocument/2006/relationships/hyperlink" Target="http://tumor.informatics.jax.org/mtbwi/tumorSummary.do?strainKey=164&amp;organOfOriginKey=12&amp;tumorFrequencyKeys=75013,75344,75345,75346,75734,76145" TargetMode="External"/><Relationship Id="rId75" Type="http://schemas.openxmlformats.org/officeDocument/2006/relationships/hyperlink" Target="http://tumor.informatics.jax.org/mtbwi/tumorSummary.do?strainKey=164&amp;organOfOriginKey=12&amp;tumorFrequencyKeys=75019,75020,75021,75354,75355,75356,75740,76149" TargetMode="External"/><Relationship Id="rId96" Type="http://schemas.openxmlformats.org/officeDocument/2006/relationships/hyperlink" Target="http://tumor.informatics.jax.org/mtbwi/tumorSummary.do?strainKey=164&amp;organOfOriginKey=48&amp;tumorFrequencyKeys=74985,74986,74987,75300,75301,75302,75708,76110,76111,76112" TargetMode="External"/><Relationship Id="rId140" Type="http://schemas.openxmlformats.org/officeDocument/2006/relationships/hyperlink" Target="http://tumor.informatics.jax.org/mtbwi/tumorSummary.do?strainKey=164&amp;organOfOriginKey=75&amp;tumorFrequencyKeys=74894,74895,74896,75217,75572,75963" TargetMode="External"/><Relationship Id="rId161" Type="http://schemas.openxmlformats.org/officeDocument/2006/relationships/hyperlink" Target="http://tumor.informatics.jax.org/mtbwi/tumorSummary.do?strainKey=164&amp;organOfOriginKey=26&amp;tumorFrequencyKeys=74747,74748,74749,75082,75083,75084,75423,75424,75425,75811,75812,75813" TargetMode="External"/><Relationship Id="rId182" Type="http://schemas.openxmlformats.org/officeDocument/2006/relationships/hyperlink" Target="http://tumor.informatics.jax.org/mtbwi/tumorSummary.do?strainKey=164&amp;organOfOriginKey=2&amp;tumorFrequencyKeys=74853,75184,75531,75915,75916,75917" TargetMode="External"/><Relationship Id="rId217" Type="http://schemas.openxmlformats.org/officeDocument/2006/relationships/hyperlink" Target="http://tumor.informatics.jax.org/mtbwi/tumorSummary.do?strainKey=164&amp;organOfOriginKey=80&amp;tumorFrequencyKeys=75662,75663,75664,76057,76058,76059" TargetMode="External"/><Relationship Id="rId6" Type="http://schemas.openxmlformats.org/officeDocument/2006/relationships/hyperlink" Target="http://tumor.informatics.jax.org/mtbwi/tumorSummary.do?strainKey=9064&amp;organOfOriginKey=13&amp;tumorFrequencyKeys=97746" TargetMode="External"/><Relationship Id="rId238" Type="http://schemas.openxmlformats.org/officeDocument/2006/relationships/hyperlink" Target="http://tumor.informatics.jax.org/mtbwi/tumorSummary.do?strainKey=164&amp;organOfOriginKey=101&amp;tumorFrequencyKeys=74807,74808,74809,75138,75139,75140,75487,75488,75489,75869,75870,75871" TargetMode="External"/><Relationship Id="rId259" Type="http://schemas.openxmlformats.org/officeDocument/2006/relationships/hyperlink" Target="http://tumor.informatics.jax.org/mtbwi/tumorSummary.do?strainKey=164&amp;organOfOriginKey=16&amp;tumorFrequencyKeys=74716,75055,75056,75057,75396,75397,75398,75786" TargetMode="External"/><Relationship Id="rId23" Type="http://schemas.openxmlformats.org/officeDocument/2006/relationships/hyperlink" Target="http://tumor.informatics.jax.org/mtbwi/tumorSummary.do?strainKey=9064&amp;organOfOriginKey=80&amp;tumorFrequencyKeys=97762" TargetMode="External"/><Relationship Id="rId119" Type="http://schemas.openxmlformats.org/officeDocument/2006/relationships/hyperlink" Target="http://tumor.informatics.jax.org/mtbwi/tumorSummary.do?strainKey=164&amp;organOfOriginKey=85&amp;tumorFrequencyKeys=44337,44389" TargetMode="External"/><Relationship Id="rId270" Type="http://schemas.openxmlformats.org/officeDocument/2006/relationships/hyperlink" Target="http://tumor.informatics.jax.org/mtbwi/tumorSummary.do?strainKey=164&amp;organOfOriginKey=424&amp;tumorFrequencyKeys=44381" TargetMode="External"/><Relationship Id="rId44" Type="http://schemas.openxmlformats.org/officeDocument/2006/relationships/hyperlink" Target="http://tumor.informatics.jax.org/mtbwi/tumorSummary.do?strainKey=164&amp;organOfOriginKey=12&amp;tumorFrequencyKeys=74833,75160,75511,75512,75513,75893" TargetMode="External"/><Relationship Id="rId65" Type="http://schemas.openxmlformats.org/officeDocument/2006/relationships/hyperlink" Target="http://tumor.informatics.jax.org/mtbwi/tumorSummary.do?strainKey=164&amp;organOfOriginKey=12&amp;tumorFrequencyKeys=74851,75182,75527,75911,75912,75913" TargetMode="External"/><Relationship Id="rId86" Type="http://schemas.openxmlformats.org/officeDocument/2006/relationships/hyperlink" Target="http://tumor.informatics.jax.org/mtbwi/tumorSummary.do?strainKey=164&amp;organOfOriginKey=48&amp;tumorFrequencyKeys=44344,44396,74900,74901,74902,75221,75222,75223,75574,75965" TargetMode="External"/><Relationship Id="rId130" Type="http://schemas.openxmlformats.org/officeDocument/2006/relationships/hyperlink" Target="http://tumor.informatics.jax.org/mtbwi/tumorSummary.do?strainKey=164&amp;organOfOriginKey=131&amp;tumorFrequencyKeys=74960,75275,75276,75277" TargetMode="External"/><Relationship Id="rId151" Type="http://schemas.openxmlformats.org/officeDocument/2006/relationships/hyperlink" Target="http://tumor.informatics.jax.org/mtbwi/tumorSummary.do?strainKey=164&amp;organOfOriginKey=113&amp;tumorFrequencyKeys=30469,30489" TargetMode="External"/><Relationship Id="rId172" Type="http://schemas.openxmlformats.org/officeDocument/2006/relationships/hyperlink" Target="http://tumor.informatics.jax.org/mtbwi/tumorSummary.do?strainKey=164&amp;organOfOriginKey=5&amp;tumorFrequencyKeys=44333,44384,80286,80633" TargetMode="External"/><Relationship Id="rId193" Type="http://schemas.openxmlformats.org/officeDocument/2006/relationships/hyperlink" Target="http://tumor.informatics.jax.org/mtbwi/tumorSummary.do?strainKey=164&amp;organOfOriginKey=2&amp;tumorFrequencyKeys=75648,76033,76034,76035" TargetMode="External"/><Relationship Id="rId207" Type="http://schemas.openxmlformats.org/officeDocument/2006/relationships/hyperlink" Target="http://tumor.informatics.jax.org/mtbwi/tumorSummary.do?strainKey=164&amp;organOfOriginKey=97&amp;tumorFrequencyKeys=74731,75070,75409,75410,75411,75799" TargetMode="External"/><Relationship Id="rId228" Type="http://schemas.openxmlformats.org/officeDocument/2006/relationships/hyperlink" Target="http://tumor.informatics.jax.org/mtbwi/tumorSummary.do?strainKey=164&amp;organOfOriginKey=118&amp;tumorFrequencyKeys=74909,74910,74911,75230,75231,75232,75581,75582,75583,75972" TargetMode="External"/><Relationship Id="rId249" Type="http://schemas.openxmlformats.org/officeDocument/2006/relationships/hyperlink" Target="http://tumor.informatics.jax.org/mtbwi/tumorSummary.do?strainKey=164&amp;organOfOriginKey=50&amp;tumorFrequencyKeys=80279,80455" TargetMode="External"/><Relationship Id="rId13" Type="http://schemas.openxmlformats.org/officeDocument/2006/relationships/hyperlink" Target="http://tumor.informatics.jax.org/mtbwi/tumorSummary.do?strainKey=9064&amp;organOfOriginKey=68&amp;tumorFrequencyKeys=97546,97741" TargetMode="External"/><Relationship Id="rId109" Type="http://schemas.openxmlformats.org/officeDocument/2006/relationships/hyperlink" Target="http://tumor.informatics.jax.org/mtbwi/tumorSummary.do?strainKey=164&amp;organOfOriginKey=15&amp;tumorFrequencyKeys=74703,74704,74705,75048,75049,75050,75389,75390,75391,75775,75776,75777,80256,80432" TargetMode="External"/><Relationship Id="rId260" Type="http://schemas.openxmlformats.org/officeDocument/2006/relationships/hyperlink" Target="http://tumor.informatics.jax.org/mtbwi/tumorSummary.do?strainKey=164&amp;organOfOriginKey=83&amp;tumorFrequencyKeys=44331,80290" TargetMode="External"/><Relationship Id="rId34" Type="http://schemas.openxmlformats.org/officeDocument/2006/relationships/hyperlink" Target="http://tumor.informatics.jax.org/mtbwi/tumorSummary.do?strainKey=164&amp;organOfOriginKey=49&amp;tumorFrequencyKeys=74793,75124,75469,75470,75471,75851,75852,75853,80262,80438" TargetMode="External"/><Relationship Id="rId55" Type="http://schemas.openxmlformats.org/officeDocument/2006/relationships/hyperlink" Target="http://tumor.informatics.jax.org/mtbwi/tumorSummary.do?strainKey=164&amp;organOfOriginKey=12&amp;tumorFrequencyKeys=75018,75353,75737,75738,75739,76148" TargetMode="External"/><Relationship Id="rId76" Type="http://schemas.openxmlformats.org/officeDocument/2006/relationships/hyperlink" Target="http://tumor.informatics.jax.org/mtbwi/tumorSummary.do?strainKey=164&amp;organOfOriginKey=12&amp;tumorFrequencyKeys=75620,75621,75622,76003,76004,76005" TargetMode="External"/><Relationship Id="rId97" Type="http://schemas.openxmlformats.org/officeDocument/2006/relationships/hyperlink" Target="http://tumor.informatics.jax.org/mtbwi/tumorSummary.do?strainKey=164&amp;organOfOriginKey=48&amp;tumorFrequencyKeys=80297,80298,80299,80300,80301,80302,80303,80304,80305,80306,80307,80308,80309,80310,80311,80645,80646,80647,80648,80649,80650,80651,80652,80653,80654,80655,80656,80657,80658,80659" TargetMode="External"/><Relationship Id="rId120" Type="http://schemas.openxmlformats.org/officeDocument/2006/relationships/hyperlink" Target="http://tumor.informatics.jax.org/mtbwi/tumorSummary.do?strainKey=164&amp;organOfOriginKey=131&amp;tumorFrequencyKeys=10936,10937,44336,44388,74830,74831,74832,75157,75158,75159,75508,75509,75510,75890,75891,75892" TargetMode="External"/><Relationship Id="rId141" Type="http://schemas.openxmlformats.org/officeDocument/2006/relationships/hyperlink" Target="http://tumor.informatics.jax.org/mtbwi/tumorSummary.do?strainKey=164&amp;organOfOriginKey=75&amp;tumorFrequencyKeys=74977,75294,75704,76095,76096,76097" TargetMode="External"/><Relationship Id="rId7" Type="http://schemas.openxmlformats.org/officeDocument/2006/relationships/hyperlink" Target="http://tumor.informatics.jax.org/mtbwi/tumorSummary.do?strainKey=9064&amp;organOfOriginKey=15&amp;tumorFrequencyKeys=97559,97754" TargetMode="External"/><Relationship Id="rId162" Type="http://schemas.openxmlformats.org/officeDocument/2006/relationships/hyperlink" Target="http://tumor.informatics.jax.org/mtbwi/tumorSummary.do?strainKey=164&amp;organOfOriginKey=26&amp;tumorFrequencyKeys=80255,80431" TargetMode="External"/><Relationship Id="rId183" Type="http://schemas.openxmlformats.org/officeDocument/2006/relationships/hyperlink" Target="http://tumor.informatics.jax.org/mtbwi/tumorSummary.do?strainKey=164&amp;organOfOriginKey=2&amp;tumorFrequencyKeys=74861,74862,74863,75192,75541,75927,75928,75929" TargetMode="External"/><Relationship Id="rId218" Type="http://schemas.openxmlformats.org/officeDocument/2006/relationships/hyperlink" Target="http://tumor.informatics.jax.org/mtbwi/tumorSummary.do?strainKey=164&amp;organOfOriginKey=168&amp;tumorFrequencyKeys=75671,75672,75673,76064,76065,76066" TargetMode="External"/><Relationship Id="rId239" Type="http://schemas.openxmlformats.org/officeDocument/2006/relationships/hyperlink" Target="http://tumor.informatics.jax.org/mtbwi/tumorSummary.do?strainKey=164&amp;organOfOriginKey=101&amp;tumorFrequencyKeys=74810,74811,74812,75141,75490,75491,75492,75872" TargetMode="External"/><Relationship Id="rId250" Type="http://schemas.openxmlformats.org/officeDocument/2006/relationships/hyperlink" Target="http://tumor.informatics.jax.org/mtbwi/tumorSummary.do?strainKey=164&amp;organOfOriginKey=341&amp;tumorFrequencyKeys=74882,74883,74884,75207,75558,75956" TargetMode="External"/><Relationship Id="rId271" Type="http://schemas.openxmlformats.org/officeDocument/2006/relationships/hyperlink" Target="http://tumor.informatics.jax.org/mtbwi/tumorSummary.do?strainKey=164&amp;organOfOriginKey=268&amp;tumorFrequencyKeys=44372,75642,75643,75644,76027,76028,76029,80636" TargetMode="External"/><Relationship Id="rId24" Type="http://schemas.openxmlformats.org/officeDocument/2006/relationships/hyperlink" Target="http://tumor.informatics.jax.org/mtbwi/tumorSummary.do?strainKey=9064&amp;organOfOriginKey=80&amp;tumorFrequencyKeys=97749" TargetMode="External"/><Relationship Id="rId45" Type="http://schemas.openxmlformats.org/officeDocument/2006/relationships/hyperlink" Target="http://tumor.informatics.jax.org/mtbwi/tumorSummary.do?strainKey=164&amp;organOfOriginKey=12&amp;tumorFrequencyKeys=74843,75168,75519,75903,75904,75905" TargetMode="External"/><Relationship Id="rId66" Type="http://schemas.openxmlformats.org/officeDocument/2006/relationships/hyperlink" Target="http://tumor.informatics.jax.org/mtbwi/tumorSummary.do?strainKey=164&amp;organOfOriginKey=12&amp;tumorFrequencyKeys=74857,74858,74859,75188,75189,75190,75535,75536,75537,75921,75922,75923" TargetMode="External"/><Relationship Id="rId87" Type="http://schemas.openxmlformats.org/officeDocument/2006/relationships/hyperlink" Target="http://tumor.informatics.jax.org/mtbwi/tumorSummary.do?strainKey=164&amp;organOfOriginKey=48&amp;tumorFrequencyKeys=44349,44401" TargetMode="External"/><Relationship Id="rId110" Type="http://schemas.openxmlformats.org/officeDocument/2006/relationships/hyperlink" Target="http://tumor.informatics.jax.org/mtbwi/tumorSummary.do?strainKey=164&amp;organOfOriginKey=193&amp;tumorFrequencyKeys=74764,74765,74766,75101,75440,75826" TargetMode="External"/><Relationship Id="rId131" Type="http://schemas.openxmlformats.org/officeDocument/2006/relationships/hyperlink" Target="http://tumor.informatics.jax.org/mtbwi/tumorSummary.do?strainKey=164&amp;organOfOriginKey=131&amp;tumorFrequencyKeys=74976,75293,75701,75702,75703,76094" TargetMode="External"/><Relationship Id="rId152" Type="http://schemas.openxmlformats.org/officeDocument/2006/relationships/hyperlink" Target="http://tumor.informatics.jax.org/mtbwi/tumorSummary.do?strainKey=164&amp;organOfOriginKey=8&amp;tumorFrequencyKeys=10994" TargetMode="External"/><Relationship Id="rId173" Type="http://schemas.openxmlformats.org/officeDocument/2006/relationships/hyperlink" Target="http://tumor.informatics.jax.org/mtbwi/tumorSummary.do?strainKey=164&amp;organOfOriginKey=5&amp;tumorFrequencyKeys=44332,44383,74938,75253,75610,75611,75612,75995" TargetMode="External"/><Relationship Id="rId194" Type="http://schemas.openxmlformats.org/officeDocument/2006/relationships/hyperlink" Target="http://tumor.informatics.jax.org/mtbwi/tumorSummary.do?strainKey=164&amp;organOfOriginKey=2&amp;tumorFrequencyKeys=80637" TargetMode="External"/><Relationship Id="rId208" Type="http://schemas.openxmlformats.org/officeDocument/2006/relationships/hyperlink" Target="http://tumor.informatics.jax.org/mtbwi/tumorSummary.do?strainKey=164&amp;organOfOriginKey=97&amp;tumorFrequencyKeys=75023,75360,75361,75362,75742,76151" TargetMode="External"/><Relationship Id="rId229" Type="http://schemas.openxmlformats.org/officeDocument/2006/relationships/hyperlink" Target="http://tumor.informatics.jax.org/mtbwi/tumorSummary.do?strainKey=164&amp;organOfOriginKey=118&amp;tumorFrequencyKeys=80275,80451" TargetMode="External"/><Relationship Id="rId240" Type="http://schemas.openxmlformats.org/officeDocument/2006/relationships/hyperlink" Target="http://tumor.informatics.jax.org/mtbwi/tumorSummary.do?strainKey=164&amp;organOfOriginKey=58&amp;tumorFrequencyKeys=44317,44352,80259,80420,80421,80422,80423,80424,80425,80426,80435,80735,80736,80737,80738,80739,80740,80741,80742,80743,80744,80745,80746,80747,80748,80749,85008" TargetMode="External"/><Relationship Id="rId261" Type="http://schemas.openxmlformats.org/officeDocument/2006/relationships/hyperlink" Target="http://tumor.informatics.jax.org/mtbwi/tumorSummary.do?strainKey=164&amp;organOfOriginKey=241&amp;tumorFrequencyKeys=74952,74953,74954,75265" TargetMode="External"/><Relationship Id="rId14" Type="http://schemas.openxmlformats.org/officeDocument/2006/relationships/hyperlink" Target="http://tumor.informatics.jax.org/mtbwi/tumorSummary.do?strainKey=9064&amp;organOfOriginKey=3&amp;tumorFrequencyKeys=97547,97742" TargetMode="External"/><Relationship Id="rId35" Type="http://schemas.openxmlformats.org/officeDocument/2006/relationships/hyperlink" Target="http://tumor.informatics.jax.org/mtbwi/tumorSummary.do?strainKey=164&amp;organOfOriginKey=49&amp;tumorFrequencyKeys=84978" TargetMode="External"/><Relationship Id="rId56" Type="http://schemas.openxmlformats.org/officeDocument/2006/relationships/hyperlink" Target="http://tumor.informatics.jax.org/mtbwi/tumorSummary.do?strainKey=164&amp;organOfOriginKey=12&amp;tumorFrequencyKeys=75651,75652,75653,76042,76043,76044" TargetMode="External"/><Relationship Id="rId77" Type="http://schemas.openxmlformats.org/officeDocument/2006/relationships/hyperlink" Target="http://tumor.informatics.jax.org/mtbwi/tumorSummary.do?strainKey=164&amp;organOfOriginKey=12&amp;tumorFrequencyKeys=75654,75655,75656,76045,76046,76047" TargetMode="External"/><Relationship Id="rId100" Type="http://schemas.openxmlformats.org/officeDocument/2006/relationships/hyperlink" Target="http://tumor.informatics.jax.org/mtbwi/tumorSummary.do?strainKey=164&amp;organOfOriginKey=242&amp;tumorFrequencyKeys=74992,75305,75713,76115,76116,76117" TargetMode="External"/><Relationship Id="rId8" Type="http://schemas.openxmlformats.org/officeDocument/2006/relationships/hyperlink" Target="http://tumor.informatics.jax.org/mtbwi/tumorSummary.do?strainKey=9064&amp;organOfOriginKey=15&amp;tumorFrequencyKeys=97561,97756" TargetMode="External"/><Relationship Id="rId98" Type="http://schemas.openxmlformats.org/officeDocument/2006/relationships/hyperlink" Target="http://tumor.informatics.jax.org/mtbwi/tumorSummary.do?strainKey=164&amp;organOfOriginKey=414&amp;tumorFrequencyKeys=75002,75333,75334,75335,75723,76136" TargetMode="External"/><Relationship Id="rId121" Type="http://schemas.openxmlformats.org/officeDocument/2006/relationships/hyperlink" Target="http://tumor.informatics.jax.org/mtbwi/tumorSummary.do?strainKey=164&amp;organOfOriginKey=131&amp;tumorFrequencyKeys=37626,37627" TargetMode="External"/><Relationship Id="rId142" Type="http://schemas.openxmlformats.org/officeDocument/2006/relationships/hyperlink" Target="http://tumor.informatics.jax.org/mtbwi/tumorSummary.do?strainKey=164&amp;organOfOriginKey=3&amp;tumorFrequencyKeys=74826,75153,75502,75503,75504,75886,80271,80447" TargetMode="External"/><Relationship Id="rId163" Type="http://schemas.openxmlformats.org/officeDocument/2006/relationships/hyperlink" Target="http://tumor.informatics.jax.org/mtbwi/tumorSummary.do?strainKey=164&amp;organOfOriginKey=26&amp;tumorFrequencyKeys=80253,80429" TargetMode="External"/><Relationship Id="rId184" Type="http://schemas.openxmlformats.org/officeDocument/2006/relationships/hyperlink" Target="http://tumor.informatics.jax.org/mtbwi/tumorSummary.do?strainKey=164&amp;organOfOriginKey=2&amp;tumorFrequencyKeys=74906,74907,74908,75227,75228,75229,75578,75579,75580,75969,75970,75971" TargetMode="External"/><Relationship Id="rId219" Type="http://schemas.openxmlformats.org/officeDocument/2006/relationships/hyperlink" Target="http://tumor.informatics.jax.org/mtbwi/tumorSummary.do?strainKey=164&amp;organOfOriginKey=60&amp;tumorFrequencyKeys=80639" TargetMode="External"/><Relationship Id="rId230" Type="http://schemas.openxmlformats.org/officeDocument/2006/relationships/hyperlink" Target="http://tumor.informatics.jax.org/mtbwi/tumorSummary.do?strainKey=164&amp;organOfOriginKey=118&amp;tumorFrequencyKeys=74912,75233,75584,75585,75586,75973,75974,75975" TargetMode="External"/><Relationship Id="rId251" Type="http://schemas.openxmlformats.org/officeDocument/2006/relationships/hyperlink" Target="http://tumor.informatics.jax.org/mtbwi/tumorSummary.do?strainKey=164&amp;organOfOriginKey=45&amp;tumorFrequencyKeys=74885,74886,74887,75208,75559,75957" TargetMode="External"/><Relationship Id="rId25" Type="http://schemas.openxmlformats.org/officeDocument/2006/relationships/hyperlink" Target="http://tumor.informatics.jax.org/mtbwi/tumorSummary.do?strainKey=9064&amp;organOfOriginKey=80&amp;tumorFrequencyKeys=97763" TargetMode="External"/><Relationship Id="rId46" Type="http://schemas.openxmlformats.org/officeDocument/2006/relationships/hyperlink" Target="http://tumor.informatics.jax.org/mtbwi/tumorSummary.do?strainKey=164&amp;organOfOriginKey=12&amp;tumorFrequencyKeys=74844,75169,75170,75171,75520,75906" TargetMode="External"/><Relationship Id="rId67" Type="http://schemas.openxmlformats.org/officeDocument/2006/relationships/hyperlink" Target="http://tumor.informatics.jax.org/mtbwi/tumorSummary.do?strainKey=164&amp;organOfOriginKey=12&amp;tumorFrequencyKeys=74868,75195,75196,75197,75546,75936" TargetMode="External"/><Relationship Id="rId272" Type="http://schemas.openxmlformats.org/officeDocument/2006/relationships/hyperlink" Target="http://tumor.informatics.jax.org/mtbwi/tumorSummary.do?strainKey=164&amp;organOfOriginKey=66&amp;tumorFrequencyKeys=44379" TargetMode="External"/><Relationship Id="rId88" Type="http://schemas.openxmlformats.org/officeDocument/2006/relationships/hyperlink" Target="http://tumor.informatics.jax.org/mtbwi/tumorSummary.do?strainKey=164&amp;organOfOriginKey=48&amp;tumorFrequencyKeys=74982,74983,74984,75299,75707,76109" TargetMode="External"/><Relationship Id="rId111" Type="http://schemas.openxmlformats.org/officeDocument/2006/relationships/hyperlink" Target="http://tumor.informatics.jax.org/mtbwi/tumorSummary.do?strainKey=164&amp;organOfOriginKey=199&amp;tumorFrequencyKeys=44364" TargetMode="External"/><Relationship Id="rId132" Type="http://schemas.openxmlformats.org/officeDocument/2006/relationships/hyperlink" Target="http://tumor.informatics.jax.org/mtbwi/tumorSummary.do?strainKey=164&amp;organOfOriginKey=131&amp;tumorFrequencyKeys=74991,75304,75710,75711,75712,76114" TargetMode="External"/><Relationship Id="rId153" Type="http://schemas.openxmlformats.org/officeDocument/2006/relationships/hyperlink" Target="http://tumor.informatics.jax.org/mtbwi/tumorSummary.do?strainKey=164&amp;organOfOriginKey=271&amp;tumorFrequencyKeys=74752,74753,74754,75091,75092,75093,75432,75816" TargetMode="External"/><Relationship Id="rId174" Type="http://schemas.openxmlformats.org/officeDocument/2006/relationships/hyperlink" Target="http://tumor.informatics.jax.org/mtbwi/tumorSummary.do?strainKey=164&amp;organOfOriginKey=5&amp;tumorFrequencyKeys=74940,75255,75616,75617,75618,75999,76000,76001" TargetMode="External"/><Relationship Id="rId195" Type="http://schemas.openxmlformats.org/officeDocument/2006/relationships/hyperlink" Target="http://tumor.informatics.jax.org/mtbwi/tumorSummary.do?strainKey=164&amp;organOfOriginKey=2&amp;tumorFrequencyKeys=75645,75646,75647,76030,76031,76032" TargetMode="External"/><Relationship Id="rId209" Type="http://schemas.openxmlformats.org/officeDocument/2006/relationships/hyperlink" Target="http://tumor.informatics.jax.org/mtbwi/tumorSummary.do?strainKey=164&amp;organOfOriginKey=97&amp;tumorFrequencyKeys=75623,76006,76007,76008" TargetMode="External"/><Relationship Id="rId220" Type="http://schemas.openxmlformats.org/officeDocument/2006/relationships/hyperlink" Target="http://tumor.informatics.jax.org/mtbwi/tumorSummary.do?strainKey=164&amp;organOfOriginKey=60&amp;tumorFrequencyKeys=75661,76054,76055,76056" TargetMode="External"/><Relationship Id="rId241" Type="http://schemas.openxmlformats.org/officeDocument/2006/relationships/hyperlink" Target="http://tumor.informatics.jax.org/mtbwi/tumorSummary.do?strainKey=164&amp;organOfOriginKey=58&amp;tumorFrequencyKeys=80260,80436,85009" TargetMode="External"/><Relationship Id="rId15" Type="http://schemas.openxmlformats.org/officeDocument/2006/relationships/hyperlink" Target="http://tumor.informatics.jax.org/mtbwi/tumorSummary.do?strainKey=9064&amp;organOfOriginKey=26&amp;tumorFrequencyKeys=97760" TargetMode="External"/><Relationship Id="rId36" Type="http://schemas.openxmlformats.org/officeDocument/2006/relationships/hyperlink" Target="http://tumor.informatics.jax.org/mtbwi/tumorSummary.do?strainKey=164&amp;organOfOriginKey=49&amp;tumorFrequencyKeys=10923" TargetMode="External"/><Relationship Id="rId57" Type="http://schemas.openxmlformats.org/officeDocument/2006/relationships/hyperlink" Target="http://tumor.informatics.jax.org/mtbwi/tumorSummary.do?strainKey=164&amp;organOfOriginKey=12&amp;tumorFrequencyKeys=75681,75682,75683,76074,76075,76076" TargetMode="External"/><Relationship Id="rId262" Type="http://schemas.openxmlformats.org/officeDocument/2006/relationships/hyperlink" Target="http://tumor.informatics.jax.org/mtbwi/tumorSummary.do?strainKey=164&amp;organOfOriginKey=39&amp;tumorFrequencyKeys=74949,74950,74951,75262,75263,75264" TargetMode="External"/><Relationship Id="rId78" Type="http://schemas.openxmlformats.org/officeDocument/2006/relationships/hyperlink" Target="http://tumor.informatics.jax.org/mtbwi/tumorSummary.do?strainKey=164&amp;organOfOriginKey=12&amp;tumorFrequencyKeys=75684,75685,75686,76078" TargetMode="External"/><Relationship Id="rId99" Type="http://schemas.openxmlformats.org/officeDocument/2006/relationships/hyperlink" Target="http://tumor.informatics.jax.org/mtbwi/tumorSummary.do?strainKey=164&amp;organOfOriginKey=414&amp;tumorFrequencyKeys=75003,75336,75724,75725,75726,76137" TargetMode="External"/><Relationship Id="rId101" Type="http://schemas.openxmlformats.org/officeDocument/2006/relationships/hyperlink" Target="http://tumor.informatics.jax.org/mtbwi/tumorSummary.do?strainKey=164&amp;organOfOriginKey=242&amp;tumorFrequencyKeys=74993,75306,75714,76121,76123,76124" TargetMode="External"/><Relationship Id="rId122" Type="http://schemas.openxmlformats.org/officeDocument/2006/relationships/hyperlink" Target="http://tumor.informatics.jax.org/mtbwi/tumorSummary.do?strainKey=164&amp;organOfOriginKey=131&amp;tumorFrequencyKeys=74691,75040,75381,75761,75762,75763" TargetMode="External"/><Relationship Id="rId143" Type="http://schemas.openxmlformats.org/officeDocument/2006/relationships/hyperlink" Target="http://tumor.informatics.jax.org/mtbwi/tumorSummary.do?strainKey=164&amp;organOfOriginKey=3&amp;tumorFrequencyKeys=10921,10926,74827,74828,74829,75154,75155,75156,75505,75506,75507,75887,75888,75889,80272,80360,80361,80362,80363,80364,80365,80366,80367,80368,80369,80370,80371,80372,80373,80374,80448,80675,80676,80677,80678,80679,80680,80681,80682,80683,80684,80685,80686,80687,80688,80689,85007" TargetMode="External"/><Relationship Id="rId164" Type="http://schemas.openxmlformats.org/officeDocument/2006/relationships/hyperlink" Target="http://tumor.informatics.jax.org/mtbwi/tumorSummary.do?strainKey=164&amp;organOfOriginKey=26&amp;tumorFrequencyKeys=10919,10932,30206,74741,74742,74743,75078,75079,75080,75419,75420,75421,75807,75808,75809" TargetMode="External"/><Relationship Id="rId185" Type="http://schemas.openxmlformats.org/officeDocument/2006/relationships/hyperlink" Target="http://tumor.informatics.jax.org/mtbwi/tumorSummary.do?strainKey=164&amp;organOfOriginKey=2&amp;tumorFrequencyKeys=74931,75250,75603,75604,75605,75990" TargetMode="External"/><Relationship Id="rId9" Type="http://schemas.openxmlformats.org/officeDocument/2006/relationships/hyperlink" Target="http://tumor.informatics.jax.org/mtbwi/tumorSummary.do?strainKey=9064&amp;organOfOriginKey=15&amp;tumorFrequencyKeys=97550,97745" TargetMode="External"/><Relationship Id="rId210" Type="http://schemas.openxmlformats.org/officeDocument/2006/relationships/hyperlink" Target="http://tumor.informatics.jax.org/mtbwi/tumorSummary.do?strainKey=164&amp;organOfOriginKey=97&amp;tumorFrequencyKeys=75639,75640,75641,76020,76021,76022" TargetMode="External"/><Relationship Id="rId26" Type="http://schemas.openxmlformats.org/officeDocument/2006/relationships/hyperlink" Target="http://tumor.informatics.jax.org/mtbwi/tumorSummary.do?strainKey=9064&amp;organOfOriginKey=80&amp;tumorFrequencyKeys=97764" TargetMode="External"/><Relationship Id="rId231" Type="http://schemas.openxmlformats.org/officeDocument/2006/relationships/hyperlink" Target="http://tumor.informatics.jax.org/mtbwi/tumorSummary.do?strainKey=164&amp;organOfOriginKey=105&amp;tumorFrequencyKeys=44322,44357,74797,74798,74799,75128,75129,75130,75475,75476,75477,75857,75858,75859,80269,80445" TargetMode="External"/><Relationship Id="rId252" Type="http://schemas.openxmlformats.org/officeDocument/2006/relationships/hyperlink" Target="http://tumor.informatics.jax.org/mtbwi/tumorSummary.do?strainKey=164&amp;organOfOriginKey=114&amp;tumorFrequencyKeys=74888,75209,75560,75561,75562,75958" TargetMode="External"/><Relationship Id="rId273" Type="http://schemas.openxmlformats.org/officeDocument/2006/relationships/hyperlink" Target="http://tumor.informatics.jax.org/mtbwi/tumorSummary.do?strainKey=164&amp;organOfOriginKey=66&amp;tumorFrequencyKeys=44377,75630,75631,75632,76011,76012,76013" TargetMode="External"/><Relationship Id="rId47" Type="http://schemas.openxmlformats.org/officeDocument/2006/relationships/hyperlink" Target="http://tumor.informatics.jax.org/mtbwi/tumorSummary.do?strainKey=164&amp;organOfOriginKey=12&amp;tumorFrequencyKeys=74850,75179,75180,75181,75526,75910" TargetMode="External"/><Relationship Id="rId68" Type="http://schemas.openxmlformats.org/officeDocument/2006/relationships/hyperlink" Target="http://tumor.informatics.jax.org/mtbwi/tumorSummary.do?strainKey=164&amp;organOfOriginKey=12&amp;tumorFrequencyKeys=74891,74892,74893,75214,75215,75216,75569,75570,75571,76161,76162,76163" TargetMode="External"/><Relationship Id="rId89" Type="http://schemas.openxmlformats.org/officeDocument/2006/relationships/hyperlink" Target="http://tumor.informatics.jax.org/mtbwi/tumorSummary.do?strainKey=164&amp;organOfOriginKey=48&amp;tumorFrequencyKeys=44342,44394,74924,74925,74926,75245,75598,75985" TargetMode="External"/><Relationship Id="rId112" Type="http://schemas.openxmlformats.org/officeDocument/2006/relationships/hyperlink" Target="http://tumor.informatics.jax.org/mtbwi/tumorSummary.do?strainKey=164&amp;organOfOriginKey=74&amp;tumorFrequencyKeys=74732,74733,74734,75071,75412,75800" TargetMode="External"/><Relationship Id="rId133" Type="http://schemas.openxmlformats.org/officeDocument/2006/relationships/hyperlink" Target="http://tumor.informatics.jax.org/mtbwi/tumorSummary.do?strainKey=164&amp;organOfOriginKey=131&amp;tumorFrequencyKeys=75650,76039,76040,76041" TargetMode="External"/><Relationship Id="rId154" Type="http://schemas.openxmlformats.org/officeDocument/2006/relationships/hyperlink" Target="http://tumor.informatics.jax.org/mtbwi/tumorSummary.do?strainKey=164&amp;organOfOriginKey=26&amp;tumorFrequencyKeys=74735,74736,74737,75072,75073,75074,75413,75414,75415,75801,75802,75803,80390,80391,80392,80393,80394,80395,80396,80397,80398,80399,80400,80401,80402,80403,80404,80705,80706,80707,80708,80709,80710,80711,80712,80713,80714,80715,80716,80717,80718,80719,85005" TargetMode="External"/><Relationship Id="rId175" Type="http://schemas.openxmlformats.org/officeDocument/2006/relationships/hyperlink" Target="http://tumor.informatics.jax.org/mtbwi/tumorSummary.do?strainKey=164&amp;organOfOriginKey=5&amp;tumorFrequencyKeys=74939,75254,75613,75614,75615,75996,75997,75998,80285,80632" TargetMode="External"/><Relationship Id="rId196" Type="http://schemas.openxmlformats.org/officeDocument/2006/relationships/hyperlink" Target="http://tumor.informatics.jax.org/mtbwi/tumorSummary.do?strainKey=164&amp;organOfOriginKey=2&amp;tumorFrequencyKeys=80276,80452" TargetMode="External"/><Relationship Id="rId200" Type="http://schemas.openxmlformats.org/officeDocument/2006/relationships/hyperlink" Target="http://tumor.informatics.jax.org/mtbwi/tumorSummary.do?strainKey=164&amp;organOfOriginKey=153&amp;tumorFrequencyKeys=80296,80644" TargetMode="External"/><Relationship Id="rId16" Type="http://schemas.openxmlformats.org/officeDocument/2006/relationships/hyperlink" Target="http://tumor.informatics.jax.org/mtbwi/tumorSummary.do?strainKey=9064&amp;organOfOriginKey=26&amp;tumorFrequencyKeys=97761" TargetMode="External"/><Relationship Id="rId221" Type="http://schemas.openxmlformats.org/officeDocument/2006/relationships/hyperlink" Target="http://tumor.informatics.jax.org/mtbwi/tumorSummary.do?strainKey=164&amp;organOfOriginKey=60&amp;tumorFrequencyKeys=75677,76070,76071,76072" TargetMode="External"/><Relationship Id="rId242" Type="http://schemas.openxmlformats.org/officeDocument/2006/relationships/hyperlink" Target="http://tumor.informatics.jax.org/mtbwi/tumorSummary.do?strainKey=164&amp;organOfOriginKey=465&amp;tumorFrequencyKeys=75649,76036,76037,76038" TargetMode="External"/><Relationship Id="rId263" Type="http://schemas.openxmlformats.org/officeDocument/2006/relationships/hyperlink" Target="http://tumor.informatics.jax.org/mtbwi/tumorSummary.do?strainKey=164&amp;organOfOriginKey=6&amp;tumorFrequencyKeys=74867,75194,75543,75544,75545,75933,75934,75935" TargetMode="External"/><Relationship Id="rId37" Type="http://schemas.openxmlformats.org/officeDocument/2006/relationships/hyperlink" Target="http://tumor.informatics.jax.org/mtbwi/tumorSummary.do?strainKey=164&amp;organOfOriginKey=72&amp;tumorFrequencyKeys=10938,44321,44356,74794,74795,74796,75125,75126,75127,75472,75473,75474,75854,75855,75856,80263,80439" TargetMode="External"/><Relationship Id="rId58" Type="http://schemas.openxmlformats.org/officeDocument/2006/relationships/hyperlink" Target="http://tumor.informatics.jax.org/mtbwi/tumorSummary.do?strainKey=164&amp;organOfOriginKey=12&amp;tumorFrequencyKeys=11456,11457,11458,11459,11460,11461,11462,11463,11464,11465,11466,11467,11468,11469,11470,11471,11472,11473,11474,11475,11476,11477,11478,11479,11480,11481,11482,11483,11486,11487,11490,11491,11504,27498,27502,30708,30729,44348,44400,74685,74686,74687,75036,75037,75038,75375,75376,75377,75755,75756,75757,80252,80428" TargetMode="External"/><Relationship Id="rId79" Type="http://schemas.openxmlformats.org/officeDocument/2006/relationships/hyperlink" Target="http://tumor.informatics.jax.org/mtbwi/tumorSummary.do?strainKey=164&amp;organOfOriginKey=12&amp;tumorFrequencyKeys=10922,80375,80376,80377,80378,80379,80380,80381,80382,80383,80384,80385,80386,80387,80388,80389,80690,80691,80692,80693,80694,80695,80696,80697,80698,80699,80700,80701,80702,80703,80704" TargetMode="External"/><Relationship Id="rId102" Type="http://schemas.openxmlformats.org/officeDocument/2006/relationships/hyperlink" Target="http://tumor.informatics.jax.org/mtbwi/tumorSummary.do?strainKey=164&amp;organOfOriginKey=18&amp;tumorFrequencyKeys=74702,75047,75386,75387,75388,75774" TargetMode="External"/><Relationship Id="rId123" Type="http://schemas.openxmlformats.org/officeDocument/2006/relationships/hyperlink" Target="http://tumor.informatics.jax.org/mtbwi/tumorSummary.do?strainKey=164&amp;organOfOriginKey=131&amp;tumorFrequencyKeys=74751,75088,75089,75090,75429,75430,75431,75815" TargetMode="External"/><Relationship Id="rId144" Type="http://schemas.openxmlformats.org/officeDocument/2006/relationships/hyperlink" Target="http://tumor.informatics.jax.org/mtbwi/tumorSummary.do?strainKey=164&amp;organOfOriginKey=3&amp;tumorFrequencyKeys=37624,37625" TargetMode="External"/><Relationship Id="rId90" Type="http://schemas.openxmlformats.org/officeDocument/2006/relationships/hyperlink" Target="http://tumor.informatics.jax.org/mtbwi/tumorSummary.do?strainKey=164&amp;organOfOriginKey=48&amp;tumorFrequencyKeys=44345,44397,74903,74904,74905,75224,75225,75226,75575,75576,75577,75966,75967,75968" TargetMode="External"/><Relationship Id="rId165" Type="http://schemas.openxmlformats.org/officeDocument/2006/relationships/hyperlink" Target="http://tumor.informatics.jax.org/mtbwi/tumorSummary.do?strainKey=164&amp;organOfOriginKey=4&amp;tumorFrequencyKeys=5907" TargetMode="External"/><Relationship Id="rId186" Type="http://schemas.openxmlformats.org/officeDocument/2006/relationships/hyperlink" Target="http://tumor.informatics.jax.org/mtbwi/tumorSummary.do?strainKey=164&amp;organOfOriginKey=2&amp;tumorFrequencyKeys=74948,75259,75260,75261" TargetMode="External"/><Relationship Id="rId211" Type="http://schemas.openxmlformats.org/officeDocument/2006/relationships/hyperlink" Target="http://tumor.informatics.jax.org/mtbwi/tumorSummary.do?strainKey=164&amp;organOfOriginKey=37&amp;tumorFrequencyKeys=74930,75249,75602,75987,75988,75989,80283,80630" TargetMode="External"/><Relationship Id="rId232" Type="http://schemas.openxmlformats.org/officeDocument/2006/relationships/hyperlink" Target="http://tumor.informatics.jax.org/mtbwi/tumorSummary.do?strainKey=164&amp;organOfOriginKey=105&amp;tumorFrequencyKeys=74800,74801,74802,75131,75478,75479,75480,75860,75861,75862,80270,80446" TargetMode="External"/><Relationship Id="rId253" Type="http://schemas.openxmlformats.org/officeDocument/2006/relationships/hyperlink" Target="http://tumor.informatics.jax.org/mtbwi/tumorSummary.do?strainKey=164&amp;organOfOriginKey=114&amp;tumorFrequencyKeys=74889,75210,75563,75564,75565,75959" TargetMode="External"/><Relationship Id="rId274" Type="http://schemas.openxmlformats.org/officeDocument/2006/relationships/hyperlink" Target="http://tumor.informatics.jax.org/mtbwi/tumorSummary.do?strainKey=164&amp;organOfOriginKey=66&amp;tumorFrequencyKeys=75633,75634,75635,76014,76015,76016" TargetMode="External"/><Relationship Id="rId27" Type="http://schemas.openxmlformats.org/officeDocument/2006/relationships/hyperlink" Target="http://tumor.informatics.jax.org/mtbwi/tumorSummary.do?strainKey=9064&amp;organOfOriginKey=57&amp;tumorFrequencyKeys=97552" TargetMode="External"/><Relationship Id="rId48" Type="http://schemas.openxmlformats.org/officeDocument/2006/relationships/hyperlink" Target="http://tumor.informatics.jax.org/mtbwi/tumorSummary.do?strainKey=164&amp;organOfOriginKey=12&amp;tumorFrequencyKeys=74854,74855,74856,75185,75186,75187,75532,75533,75534,75918,75919,75920" TargetMode="External"/><Relationship Id="rId69" Type="http://schemas.openxmlformats.org/officeDocument/2006/relationships/hyperlink" Target="http://tumor.informatics.jax.org/mtbwi/tumorSummary.do?strainKey=164&amp;organOfOriginKey=12&amp;tumorFrequencyKeys=74923,75242,75243,75244,75597,75982,75983,75984" TargetMode="External"/><Relationship Id="rId113" Type="http://schemas.openxmlformats.org/officeDocument/2006/relationships/hyperlink" Target="http://tumor.informatics.jax.org/mtbwi/tumorSummary.do?strainKey=164&amp;organOfOriginKey=64&amp;tumorFrequencyKeys=80258,80434" TargetMode="External"/><Relationship Id="rId134" Type="http://schemas.openxmlformats.org/officeDocument/2006/relationships/hyperlink" Target="http://tumor.informatics.jax.org/mtbwi/tumorSummary.do?strainKey=164&amp;organOfOriginKey=131&amp;tumorFrequencyKeys=75678,75679,75680,76073" TargetMode="External"/><Relationship Id="rId80" Type="http://schemas.openxmlformats.org/officeDocument/2006/relationships/hyperlink" Target="http://tumor.informatics.jax.org/mtbwi/tumorSummary.do?strainKey=164&amp;organOfOriginKey=71&amp;tumorFrequencyKeys=44341,44393,74917,74918,74919,75238,75239,75240,75591,75592,75593,75978,75979,75980,80282,80629" TargetMode="External"/><Relationship Id="rId155" Type="http://schemas.openxmlformats.org/officeDocument/2006/relationships/hyperlink" Target="http://tumor.informatics.jax.org/mtbwi/tumorSummary.do?strainKey=164&amp;organOfOriginKey=26&amp;tumorFrequencyKeys=74738,74739,74740,75075,75076,75077,75416,75417,75418,75804,75805,75806,80254,80405,80406,80407,80408,80409,80410,80411,80412,80413,80414,80415,80416,80417,80418,80419,80430,80720,80721,80722,80723,80724,80725,80726,80727,80728,80729,80730,80731,80732,80733,80734,85006" TargetMode="External"/><Relationship Id="rId176" Type="http://schemas.openxmlformats.org/officeDocument/2006/relationships/hyperlink" Target="http://tumor.informatics.jax.org/mtbwi/tumorSummary.do?strainKey=164&amp;organOfOriginKey=2&amp;tumorFrequencyKeys=74916,75237,75588,75589,75590,75977" TargetMode="External"/><Relationship Id="rId197" Type="http://schemas.openxmlformats.org/officeDocument/2006/relationships/hyperlink" Target="http://tumor.informatics.jax.org/mtbwi/tumorSummary.do?strainKey=164&amp;organOfOriginKey=153&amp;tumorFrequencyKeys=37543" TargetMode="External"/><Relationship Id="rId201" Type="http://schemas.openxmlformats.org/officeDocument/2006/relationships/hyperlink" Target="http://tumor.informatics.jax.org/mtbwi/tumorSummary.do?strainKey=164&amp;organOfOriginKey=97&amp;tumorFrequencyKeys=44325,44360" TargetMode="External"/><Relationship Id="rId222" Type="http://schemas.openxmlformats.org/officeDocument/2006/relationships/hyperlink" Target="http://tumor.informatics.jax.org/mtbwi/tumorSummary.do?strainKey=164&amp;organOfOriginKey=60&amp;tumorFrequencyKeys=75660,76051,76052,76053" TargetMode="External"/><Relationship Id="rId243" Type="http://schemas.openxmlformats.org/officeDocument/2006/relationships/hyperlink" Target="http://tumor.informatics.jax.org/mtbwi/tumorSummary.do?strainKey=164&amp;organOfOriginKey=57&amp;tumorFrequencyKeys=80287" TargetMode="External"/><Relationship Id="rId264" Type="http://schemas.openxmlformats.org/officeDocument/2006/relationships/hyperlink" Target="http://tumor.informatics.jax.org/mtbwi/tumorSummary.do?strainKey=164&amp;organOfOriginKey=53&amp;tumorFrequencyKeys=44318,44353,74814,74815,74816,75143,75144,75145,75494,75495,75496,75876,75877,75878,80267,80443" TargetMode="External"/><Relationship Id="rId17" Type="http://schemas.openxmlformats.org/officeDocument/2006/relationships/hyperlink" Target="http://tumor.informatics.jax.org/mtbwi/tumorSummary.do?strainKey=9064&amp;organOfOriginKey=26&amp;tumorFrequencyKeys=97553,97747" TargetMode="External"/><Relationship Id="rId38" Type="http://schemas.openxmlformats.org/officeDocument/2006/relationships/hyperlink" Target="http://tumor.informatics.jax.org/mtbwi/tumorSummary.do?strainKey=164&amp;organOfOriginKey=72&amp;tumorFrequencyKeys=80264,80440" TargetMode="External"/><Relationship Id="rId59" Type="http://schemas.openxmlformats.org/officeDocument/2006/relationships/hyperlink" Target="http://tumor.informatics.jax.org/mtbwi/tumorSummary.do?strainKey=164&amp;organOfOriginKey=12&amp;tumorFrequencyKeys=30470,30491,30705,30725,74761,74762,74763,75098,75099,75100,75437,75438,75439,75823,75824,75825" TargetMode="External"/><Relationship Id="rId103" Type="http://schemas.openxmlformats.org/officeDocument/2006/relationships/hyperlink" Target="http://tumor.informatics.jax.org/mtbwi/tumorSummary.do?strainKey=164&amp;organOfOriginKey=13&amp;tumorFrequencyKeys=11388" TargetMode="External"/><Relationship Id="rId124" Type="http://schemas.openxmlformats.org/officeDocument/2006/relationships/hyperlink" Target="http://tumor.informatics.jax.org/mtbwi/tumorSummary.do?strainKey=164&amp;organOfOriginKey=131&amp;tumorFrequencyKeys=74774,75109,75446,75447,75448,75832" TargetMode="External"/><Relationship Id="rId70" Type="http://schemas.openxmlformats.org/officeDocument/2006/relationships/hyperlink" Target="http://tumor.informatics.jax.org/mtbwi/tumorSummary.do?strainKey=164&amp;organOfOriginKey=12&amp;tumorFrequencyKeys=74927,74928,74929,75246,75247,75248,75599,75600,75601,75986" TargetMode="External"/><Relationship Id="rId91" Type="http://schemas.openxmlformats.org/officeDocument/2006/relationships/hyperlink" Target="http://tumor.informatics.jax.org/mtbwi/tumorSummary.do?strainKey=164&amp;organOfOriginKey=48&amp;tumorFrequencyKeys=74717,75058,75059,75060,75399,75787" TargetMode="External"/><Relationship Id="rId145" Type="http://schemas.openxmlformats.org/officeDocument/2006/relationships/hyperlink" Target="http://tumor.informatics.jax.org/mtbwi/tumorSummary.do?strainKey=164&amp;organOfOriginKey=3&amp;tumorFrequencyKeys=44334,44385" TargetMode="External"/><Relationship Id="rId166" Type="http://schemas.openxmlformats.org/officeDocument/2006/relationships/hyperlink" Target="http://tumor.informatics.jax.org/mtbwi/tumorSummary.do?strainKey=164&amp;organOfOriginKey=4&amp;tumorFrequencyKeys=30493,37257,37258,44323,44358,74967,74968,74969,75284,75285,75286,75692,75693,75694,76084,76086,76087,80291,80640" TargetMode="External"/><Relationship Id="rId187" Type="http://schemas.openxmlformats.org/officeDocument/2006/relationships/hyperlink" Target="http://tumor.informatics.jax.org/mtbwi/tumorSummary.do?strainKey=164&amp;organOfOriginKey=2&amp;tumorFrequencyKeys=74957,74958,74959,75272,75273,75274" TargetMode="External"/><Relationship Id="rId1" Type="http://schemas.openxmlformats.org/officeDocument/2006/relationships/hyperlink" Target="http://tumor.informatics.jax.org/mtbwi/tumorSummary.do?strainKey=9064&amp;organOfOriginKey=12&amp;tumorFrequencyKeys=97548,97743" TargetMode="External"/><Relationship Id="rId212" Type="http://schemas.openxmlformats.org/officeDocument/2006/relationships/hyperlink" Target="http://tumor.informatics.jax.org/mtbwi/tumorSummary.do?strainKey=164&amp;organOfOriginKey=155&amp;tumorFrequencyKeys=74964,75279,75687,75688,75689,76079" TargetMode="External"/><Relationship Id="rId233" Type="http://schemas.openxmlformats.org/officeDocument/2006/relationships/hyperlink" Target="http://tumor.informatics.jax.org/mtbwi/tumorSummary.do?strainKey=164&amp;organOfOriginKey=28&amp;tumorFrequencyKeys=74770,75103,75104,75105,75442,75443,75444,75828,75829,75830" TargetMode="External"/><Relationship Id="rId254" Type="http://schemas.openxmlformats.org/officeDocument/2006/relationships/hyperlink" Target="http://tumor.informatics.jax.org/mtbwi/tumorSummary.do?strainKey=164&amp;organOfOriginKey=45&amp;tumorFrequencyKeys=74881,75206,75557,75953,75954,75955,80280,80456" TargetMode="External"/><Relationship Id="rId28" Type="http://schemas.openxmlformats.org/officeDocument/2006/relationships/hyperlink" Target="http://tumor.informatics.jax.org/mtbwi/tumorSummary.do?strainKey=164&amp;organOfOriginKey=116&amp;tumorFrequencyKeys=74783,75114,75115,75116,75459,75460,75461,75841" TargetMode="External"/><Relationship Id="rId49" Type="http://schemas.openxmlformats.org/officeDocument/2006/relationships/hyperlink" Target="http://tumor.informatics.jax.org/mtbwi/tumorSummary.do?strainKey=164&amp;organOfOriginKey=12&amp;tumorFrequencyKeys=74890,75211,75212,75213,75566,75567,75568,75960,75961,75962" TargetMode="External"/><Relationship Id="rId114" Type="http://schemas.openxmlformats.org/officeDocument/2006/relationships/hyperlink" Target="http://tumor.informatics.jax.org/mtbwi/tumorSummary.do?strainKey=164&amp;organOfOriginKey=64&amp;tumorFrequencyKeys=74719,74720,74721,75062,75063,75064,75401,75402,75403,75791,75792,75793" TargetMode="External"/><Relationship Id="rId275" Type="http://schemas.openxmlformats.org/officeDocument/2006/relationships/hyperlink" Target="http://tumor.informatics.jax.org/mtbwi/tumorSummary.do?strainKey=164&amp;organOfOriginKey=66&amp;tumorFrequencyKeys=75627,75628,75629,76010" TargetMode="External"/><Relationship Id="rId60" Type="http://schemas.openxmlformats.org/officeDocument/2006/relationships/hyperlink" Target="http://tumor.informatics.jax.org/mtbwi/tumorSummary.do?strainKey=164&amp;organOfOriginKey=12&amp;tumorFrequencyKeys=74688,74689,74690,75039,75378,75379,75380,75758,75759,75760" TargetMode="External"/><Relationship Id="rId81" Type="http://schemas.openxmlformats.org/officeDocument/2006/relationships/hyperlink" Target="http://tumor.informatics.jax.org/mtbwi/tumorSummary.do?strainKey=164&amp;organOfOriginKey=86&amp;tumorFrequencyKeys=44343,44395,80284,80631" TargetMode="External"/><Relationship Id="rId135" Type="http://schemas.openxmlformats.org/officeDocument/2006/relationships/hyperlink" Target="http://tumor.informatics.jax.org/mtbwi/tumorSummary.do?strainKey=164&amp;organOfOriginKey=75&amp;tumorFrequencyKeys=74710,74711,74712,75053,75394,75784" TargetMode="External"/><Relationship Id="rId156" Type="http://schemas.openxmlformats.org/officeDocument/2006/relationships/hyperlink" Target="http://tumor.informatics.jax.org/mtbwi/tumorSummary.do?strainKey=164&amp;organOfOriginKey=26&amp;tumorFrequencyKeys=11279" TargetMode="External"/><Relationship Id="rId177" Type="http://schemas.openxmlformats.org/officeDocument/2006/relationships/hyperlink" Target="http://tumor.informatics.jax.org/mtbwi/tumorSummary.do?strainKey=164&amp;organOfOriginKey=2&amp;tumorFrequencyKeys=74718,75061,75400,75788,75789,75790" TargetMode="External"/><Relationship Id="rId198" Type="http://schemas.openxmlformats.org/officeDocument/2006/relationships/hyperlink" Target="http://tumor.informatics.jax.org/mtbwi/tumorSummary.do?strainKey=164&amp;organOfOriginKey=153&amp;tumorFrequencyKeys=37544" TargetMode="External"/><Relationship Id="rId202" Type="http://schemas.openxmlformats.org/officeDocument/2006/relationships/hyperlink" Target="http://tumor.informatics.jax.org/mtbwi/tumorSummary.do?strainKey=164&amp;organOfOriginKey=97&amp;tumorFrequencyKeys=44326,44361" TargetMode="External"/><Relationship Id="rId223" Type="http://schemas.openxmlformats.org/officeDocument/2006/relationships/hyperlink" Target="http://tumor.informatics.jax.org/mtbwi/tumorSummary.do?strainKey=164&amp;organOfOriginKey=60&amp;tumorFrequencyKeys=75657,75658,75659,76048,76049,76050" TargetMode="External"/><Relationship Id="rId244" Type="http://schemas.openxmlformats.org/officeDocument/2006/relationships/hyperlink" Target="http://tumor.informatics.jax.org/mtbwi/tumorSummary.do?strainKey=164&amp;organOfOriginKey=57&amp;tumorFrequencyKeys=80288" TargetMode="External"/><Relationship Id="rId18" Type="http://schemas.openxmlformats.org/officeDocument/2006/relationships/hyperlink" Target="http://tumor.informatics.jax.org/mtbwi/tumorSummary.do?strainKey=9064&amp;organOfOriginKey=4&amp;tumorFrequencyKeys=97557,97752" TargetMode="External"/><Relationship Id="rId39" Type="http://schemas.openxmlformats.org/officeDocument/2006/relationships/hyperlink" Target="http://tumor.informatics.jax.org/mtbwi/tumorSummary.do?strainKey=164&amp;organOfOriginKey=12&amp;tumorFrequencyKeys=11428,11429,11430,11431,11432,11433,11434,11435,11436,11437,11438,11439,11440,11441,11442,11443,11444,11445,11446,11447,11448,11449,11450,11451,11452,11453,11454,11455,11484,11485,11488,11489,27496,27500,44347,44399,74682,74683,74684,75033,75034,75035,75372,75373,75374,75752,75753,75754,80251,80427" TargetMode="External"/><Relationship Id="rId265" Type="http://schemas.openxmlformats.org/officeDocument/2006/relationships/hyperlink" Target="http://tumor.informatics.jax.org/mtbwi/tumorSummary.do?strainKey=164&amp;organOfOriginKey=53&amp;tumorFrequencyKeys=44319,44354,74817,74818,74819,75146,75147,75148,75497,75498,75499,75879,75880,75881,80268,80444" TargetMode="External"/><Relationship Id="rId50" Type="http://schemas.openxmlformats.org/officeDocument/2006/relationships/hyperlink" Target="http://tumor.informatics.jax.org/mtbwi/tumorSummary.do?strainKey=164&amp;organOfOriginKey=12&amp;tumorFrequencyKeys=74955,75266,75267,75268" TargetMode="External"/><Relationship Id="rId104" Type="http://schemas.openxmlformats.org/officeDocument/2006/relationships/hyperlink" Target="http://tumor.informatics.jax.org/mtbwi/tumorSummary.do?strainKey=164&amp;organOfOriginKey=13&amp;tumorFrequencyKeys=314,11387,44339,44391,74995,74996,74997,75310,75311,75312,75716,75717,75718,76129,76130,76131,80293,80642" TargetMode="External"/><Relationship Id="rId125" Type="http://schemas.openxmlformats.org/officeDocument/2006/relationships/hyperlink" Target="http://tumor.informatics.jax.org/mtbwi/tumorSummary.do?strainKey=164&amp;organOfOriginKey=131&amp;tumorFrequencyKeys=74776,75111,75450,75451,75452,75836" TargetMode="External"/><Relationship Id="rId146" Type="http://schemas.openxmlformats.org/officeDocument/2006/relationships/hyperlink" Target="http://tumor.informatics.jax.org/mtbwi/tumorSummary.do?strainKey=164&amp;organOfOriginKey=3&amp;tumorFrequencyKeys=44335,44386" TargetMode="External"/><Relationship Id="rId167" Type="http://schemas.openxmlformats.org/officeDocument/2006/relationships/hyperlink" Target="http://tumor.informatics.jax.org/mtbwi/tumorSummary.do?strainKey=164&amp;organOfOriginKey=4&amp;tumorFrequencyKeys=30496,37259,37260,44324,44359,74970,74971,74972,75287,75288,75289,75695,75696,75697,76088,76089,76090,80292,80641" TargetMode="External"/><Relationship Id="rId188" Type="http://schemas.openxmlformats.org/officeDocument/2006/relationships/hyperlink" Target="http://tumor.informatics.jax.org/mtbwi/tumorSummary.do?strainKey=164&amp;organOfOriginKey=2&amp;tumorFrequencyKeys=74965,75280,75281,75282,75690,76080" TargetMode="External"/><Relationship Id="rId71" Type="http://schemas.openxmlformats.org/officeDocument/2006/relationships/hyperlink" Target="http://tumor.informatics.jax.org/mtbwi/tumorSummary.do?strainKey=164&amp;organOfOriginKey=12&amp;tumorFrequencyKeys=74944,75257" TargetMode="External"/><Relationship Id="rId92" Type="http://schemas.openxmlformats.org/officeDocument/2006/relationships/hyperlink" Target="http://tumor.informatics.jax.org/mtbwi/tumorSummary.do?strainKey=164&amp;organOfOriginKey=48&amp;tumorFrequencyKeys=74728,74729,74730,75069,75408,75798" TargetMode="External"/><Relationship Id="rId213" Type="http://schemas.openxmlformats.org/officeDocument/2006/relationships/hyperlink" Target="http://tumor.informatics.jax.org/mtbwi/tumorSummary.do?strainKey=164&amp;organOfOriginKey=14&amp;tumorFrequencyKeys=74699,74700,74701,75046,75385,75773" TargetMode="External"/><Relationship Id="rId234" Type="http://schemas.openxmlformats.org/officeDocument/2006/relationships/hyperlink" Target="http://tumor.informatics.jax.org/mtbwi/tumorSummary.do?strainKey=164&amp;organOfOriginKey=251&amp;tumorFrequencyKeys=74813,75142,75493,75873,75874,75875" TargetMode="External"/><Relationship Id="rId2" Type="http://schemas.openxmlformats.org/officeDocument/2006/relationships/hyperlink" Target="http://tumor.informatics.jax.org/mtbwi/tumorSummary.do?strainKey=9064&amp;organOfOriginKey=13&amp;tumorFrequencyKeys=97564,97759" TargetMode="External"/><Relationship Id="rId29" Type="http://schemas.openxmlformats.org/officeDocument/2006/relationships/hyperlink" Target="http://tumor.informatics.jax.org/mtbwi/tumorSummary.do?strainKey=164&amp;organOfOriginKey=116&amp;tumorFrequencyKeys=74897,74898,74899,75218,75219,75220,75573,75964" TargetMode="External"/><Relationship Id="rId255" Type="http://schemas.openxmlformats.org/officeDocument/2006/relationships/hyperlink" Target="http://tumor.informatics.jax.org/mtbwi/tumorSummary.do?strainKey=164&amp;organOfOriginKey=45&amp;tumorFrequencyKeys=44346,44398,74874,74875,74876,75201,75202,75203,75552,75946,75947,75948,80278,80454" TargetMode="External"/><Relationship Id="rId276" Type="http://schemas.openxmlformats.org/officeDocument/2006/relationships/hyperlink" Target="http://tumor.informatics.jax.org/mtbwi/tumorSummary.do?strainKey=164&amp;organOfOriginKey=92&amp;tumorFrequencyKeys=75624,75625,75626,76009" TargetMode="External"/><Relationship Id="rId40" Type="http://schemas.openxmlformats.org/officeDocument/2006/relationships/hyperlink" Target="http://tumor.informatics.jax.org/mtbwi/tumorSummary.do?strainKey=164&amp;organOfOriginKey=12&amp;tumorFrequencyKeys=74695,75044,75383,75767,75768,75769" TargetMode="External"/><Relationship Id="rId115" Type="http://schemas.openxmlformats.org/officeDocument/2006/relationships/hyperlink" Target="http://tumor.informatics.jax.org/mtbwi/tumorSummary.do?strainKey=164&amp;organOfOriginKey=64&amp;tumorFrequencyKeys=74722,74723,74724,75065,75066,75067,75404,75405,75406,75794,75795,75796" TargetMode="External"/><Relationship Id="rId136" Type="http://schemas.openxmlformats.org/officeDocument/2006/relationships/hyperlink" Target="http://tumor.informatics.jax.org/mtbwi/tumorSummary.do?strainKey=164&amp;organOfOriginKey=75&amp;tumorFrequencyKeys=74837,74838,74839,75164,75165,75166,75517,75897,75898,75899" TargetMode="External"/><Relationship Id="rId157" Type="http://schemas.openxmlformats.org/officeDocument/2006/relationships/hyperlink" Target="http://tumor.informatics.jax.org/mtbwi/tumorSummary.do?strainKey=164&amp;organOfOriginKey=26&amp;tumorFrequencyKeys=28927,28931,28935,28939,74750,75085,75086,75087,75426,75427,75428,75814" TargetMode="External"/><Relationship Id="rId178" Type="http://schemas.openxmlformats.org/officeDocument/2006/relationships/hyperlink" Target="http://tumor.informatics.jax.org/mtbwi/tumorSummary.do?strainKey=164&amp;organOfOriginKey=2&amp;tumorFrequencyKeys=74755,74756,74757,75094,75433,75817,75818,75819" TargetMode="External"/><Relationship Id="rId61" Type="http://schemas.openxmlformats.org/officeDocument/2006/relationships/hyperlink" Target="http://tumor.informatics.jax.org/mtbwi/tumorSummary.do?strainKey=164&amp;organOfOriginKey=12&amp;tumorFrequencyKeys=74725,74726,74727,75068,75407,75797" TargetMode="External"/><Relationship Id="rId82" Type="http://schemas.openxmlformats.org/officeDocument/2006/relationships/hyperlink" Target="http://tumor.informatics.jax.org/mtbwi/tumorSummary.do?strainKey=164&amp;organOfOriginKey=319&amp;tumorFrequencyKeys=74935,74936,74937,75252,75607,75608,75609,75992,75993,75994" TargetMode="External"/><Relationship Id="rId199" Type="http://schemas.openxmlformats.org/officeDocument/2006/relationships/hyperlink" Target="http://tumor.informatics.jax.org/mtbwi/tumorSummary.do?strainKey=164&amp;organOfOriginKey=153&amp;tumorFrequencyKeys=80295" TargetMode="External"/><Relationship Id="rId203" Type="http://schemas.openxmlformats.org/officeDocument/2006/relationships/hyperlink" Target="http://tumor.informatics.jax.org/mtbwi/tumorSummary.do?strainKey=164&amp;organOfOriginKey=97&amp;tumorFrequencyKeys=44327,44362" TargetMode="External"/><Relationship Id="rId19" Type="http://schemas.openxmlformats.org/officeDocument/2006/relationships/hyperlink" Target="http://tumor.informatics.jax.org/mtbwi/tumorSummary.do?strainKey=9064&amp;organOfOriginKey=4&amp;tumorFrequencyKeys=97558,97753" TargetMode="External"/><Relationship Id="rId224" Type="http://schemas.openxmlformats.org/officeDocument/2006/relationships/hyperlink" Target="http://tumor.informatics.jax.org/mtbwi/tumorSummary.do?strainKey=164&amp;organOfOriginKey=60&amp;tumorFrequencyKeys=75668,75669,75670,76061,76062,76063" TargetMode="External"/><Relationship Id="rId245" Type="http://schemas.openxmlformats.org/officeDocument/2006/relationships/hyperlink" Target="http://tumor.informatics.jax.org/mtbwi/tumorSummary.do?strainKey=164&amp;organOfOriginKey=57&amp;tumorFrequencyKeys=74941,74942,74943,75256" TargetMode="External"/><Relationship Id="rId266" Type="http://schemas.openxmlformats.org/officeDocument/2006/relationships/hyperlink" Target="http://tumor.informatics.jax.org/mtbwi/tumorSummary.do?strainKey=164&amp;organOfOriginKey=249&amp;tumorFrequencyKeys=74820,74821,74822,75149,75150,75151,75500,75882,75883,75884,80265,80441" TargetMode="External"/><Relationship Id="rId30" Type="http://schemas.openxmlformats.org/officeDocument/2006/relationships/hyperlink" Target="http://tumor.informatics.jax.org/mtbwi/tumorSummary.do?strainKey=164&amp;organOfOriginKey=116&amp;tumorFrequencyKeys=74932,74933,74934,75251,75606,75991" TargetMode="External"/><Relationship Id="rId105" Type="http://schemas.openxmlformats.org/officeDocument/2006/relationships/hyperlink" Target="http://tumor.informatics.jax.org/mtbwi/tumorSummary.do?strainKey=164&amp;organOfOriginKey=13&amp;tumorFrequencyKeys=74998,74999,75000,75313,75314,75315,75719,75720,75721,76132,76133,76134,80294,80643" TargetMode="External"/><Relationship Id="rId126" Type="http://schemas.openxmlformats.org/officeDocument/2006/relationships/hyperlink" Target="http://tumor.informatics.jax.org/mtbwi/tumorSummary.do?strainKey=164&amp;organOfOriginKey=131&amp;tumorFrequencyKeys=74849,75178,75523,75524,75525,75909" TargetMode="External"/><Relationship Id="rId147" Type="http://schemas.openxmlformats.org/officeDocument/2006/relationships/hyperlink" Target="http://tumor.informatics.jax.org/mtbwi/tumorSummary.do?strainKey=164&amp;organOfOriginKey=3&amp;tumorFrequencyKeys=44338,44390" TargetMode="External"/><Relationship Id="rId168" Type="http://schemas.openxmlformats.org/officeDocument/2006/relationships/hyperlink" Target="http://tumor.informatics.jax.org/mtbwi/tumorSummary.do?strainKey=164&amp;organOfOriginKey=4&amp;tumorFrequencyKeys=37537" TargetMode="External"/><Relationship Id="rId51" Type="http://schemas.openxmlformats.org/officeDocument/2006/relationships/hyperlink" Target="http://tumor.informatics.jax.org/mtbwi/tumorSummary.do?strainKey=164&amp;organOfOriginKey=12&amp;tumorFrequencyKeys=74961,74962,74963,75278" TargetMode="External"/><Relationship Id="rId72" Type="http://schemas.openxmlformats.org/officeDocument/2006/relationships/hyperlink" Target="http://tumor.informatics.jax.org/mtbwi/tumorSummary.do?strainKey=164&amp;organOfOriginKey=12&amp;tumorFrequencyKeys=74956,75269,75270,75271" TargetMode="External"/><Relationship Id="rId93" Type="http://schemas.openxmlformats.org/officeDocument/2006/relationships/hyperlink" Target="http://tumor.informatics.jax.org/mtbwi/tumorSummary.do?strainKey=164&amp;organOfOriginKey=48&amp;tumorFrequencyKeys=74775,75110,75449,75833,75834,75835" TargetMode="External"/><Relationship Id="rId189" Type="http://schemas.openxmlformats.org/officeDocument/2006/relationships/hyperlink" Target="http://tumor.informatics.jax.org/mtbwi/tumorSummary.do?strainKey=164&amp;organOfOriginKey=2&amp;tumorFrequencyKeys=74988,74989,74990,75303,75709,76113" TargetMode="External"/><Relationship Id="rId3" Type="http://schemas.openxmlformats.org/officeDocument/2006/relationships/hyperlink" Target="http://tumor.informatics.jax.org/mtbwi/tumorSummary.do?strainKey=9064&amp;organOfOriginKey=13&amp;tumorFrequencyKeys=97563,97758" TargetMode="External"/><Relationship Id="rId214" Type="http://schemas.openxmlformats.org/officeDocument/2006/relationships/hyperlink" Target="http://tumor.informatics.jax.org/mtbwi/tumorSummary.do?strainKey=164&amp;organOfOriginKey=14&amp;tumorFrequencyKeys=74696,74697,74698,75045,75384,75770,75771,75772" TargetMode="External"/><Relationship Id="rId235" Type="http://schemas.openxmlformats.org/officeDocument/2006/relationships/hyperlink" Target="http://tumor.informatics.jax.org/mtbwi/tumorSummary.do?strainKey=164&amp;organOfOriginKey=122&amp;tumorFrequencyKeys=74803,74804,74805,75132,75133,75134,75481,75482,75483,75863,75864,75865" TargetMode="External"/><Relationship Id="rId256" Type="http://schemas.openxmlformats.org/officeDocument/2006/relationships/hyperlink" Target="http://tumor.informatics.jax.org/mtbwi/tumorSummary.do?strainKey=164&amp;organOfOriginKey=45&amp;tumorFrequencyKeys=74871,74872,74873,75200,75549,75550,75551,75943,75944,75945,80277,80453" TargetMode="External"/><Relationship Id="rId277" Type="http://schemas.openxmlformats.org/officeDocument/2006/relationships/printerSettings" Target="../printerSettings/printerSettings2.bin"/><Relationship Id="rId116" Type="http://schemas.openxmlformats.org/officeDocument/2006/relationships/hyperlink" Target="http://tumor.informatics.jax.org/mtbwi/tumorSummary.do?strainKey=164&amp;organOfOriginKey=246&amp;tumorFrequencyKeys=75004,75005,75006,75337,75338,75339,75727,75728,75729,76138,76139,76140" TargetMode="External"/><Relationship Id="rId137" Type="http://schemas.openxmlformats.org/officeDocument/2006/relationships/hyperlink" Target="http://tumor.informatics.jax.org/mtbwi/tumorSummary.do?strainKey=164&amp;organOfOriginKey=75&amp;tumorFrequencyKeys=74840,74841,74842,75167,75518,75900,75901,75902" TargetMode="External"/><Relationship Id="rId158" Type="http://schemas.openxmlformats.org/officeDocument/2006/relationships/hyperlink" Target="http://tumor.informatics.jax.org/mtbwi/tumorSummary.do?strainKey=164&amp;organOfOriginKey=26&amp;tumorFrequencyKeys=11282,30706,30726,44328,44365" TargetMode="External"/><Relationship Id="rId20" Type="http://schemas.openxmlformats.org/officeDocument/2006/relationships/hyperlink" Target="http://tumor.informatics.jax.org/mtbwi/tumorSummary.do?strainKey=9064&amp;organOfOriginKey=4&amp;tumorFrequencyKeys=97556,97751" TargetMode="External"/><Relationship Id="rId41" Type="http://schemas.openxmlformats.org/officeDocument/2006/relationships/hyperlink" Target="http://tumor.informatics.jax.org/mtbwi/tumorSummary.do?strainKey=164&amp;organOfOriginKey=12&amp;tumorFrequencyKeys=74758,74759,74760,75095,75096,75097,75434,75435,75436,75820,75821,75822" TargetMode="External"/><Relationship Id="rId62" Type="http://schemas.openxmlformats.org/officeDocument/2006/relationships/hyperlink" Target="http://tumor.informatics.jax.org/mtbwi/tumorSummary.do?strainKey=164&amp;organOfOriginKey=12&amp;tumorFrequencyKeys=74780,74781,74782,75113,75456,75457,75458,75838,75839,75840" TargetMode="External"/><Relationship Id="rId83" Type="http://schemas.openxmlformats.org/officeDocument/2006/relationships/hyperlink" Target="http://tumor.informatics.jax.org/mtbwi/tumorSummary.do?strainKey=164&amp;organOfOriginKey=51&amp;tumorFrequencyKeys=80634" TargetMode="External"/><Relationship Id="rId179" Type="http://schemas.openxmlformats.org/officeDocument/2006/relationships/hyperlink" Target="http://tumor.informatics.jax.org/mtbwi/tumorSummary.do?strainKey=164&amp;organOfOriginKey=2&amp;tumorFrequencyKeys=74767,74768,74769,75102,75441,75827" TargetMode="External"/><Relationship Id="rId190" Type="http://schemas.openxmlformats.org/officeDocument/2006/relationships/hyperlink" Target="http://tumor.informatics.jax.org/mtbwi/tumorSummary.do?strainKey=164&amp;organOfOriginKey=2&amp;tumorFrequencyKeys=74994,75307,75308,75309,75715,76128" TargetMode="External"/><Relationship Id="rId204" Type="http://schemas.openxmlformats.org/officeDocument/2006/relationships/hyperlink" Target="http://tumor.informatics.jax.org/mtbwi/tumorSummary.do?strainKey=164&amp;organOfOriginKey=97&amp;tumorFrequencyKeys=44374,75636,75637,75638,76017,76018,76019" TargetMode="External"/><Relationship Id="rId225" Type="http://schemas.openxmlformats.org/officeDocument/2006/relationships/hyperlink" Target="http://tumor.informatics.jax.org/mtbwi/tumorSummary.do?strainKey=164&amp;organOfOriginKey=60&amp;tumorFrequencyKeys=75665,75666,75667,76060" TargetMode="External"/><Relationship Id="rId246" Type="http://schemas.openxmlformats.org/officeDocument/2006/relationships/hyperlink" Target="http://tumor.informatics.jax.org/mtbwi/tumorSummary.do?strainKey=164&amp;organOfOriginKey=140&amp;tumorFrequencyKeys=80289" TargetMode="External"/><Relationship Id="rId267" Type="http://schemas.openxmlformats.org/officeDocument/2006/relationships/hyperlink" Target="http://tumor.informatics.jax.org/mtbwi/tumorSummary.do?strainKey=164&amp;organOfOriginKey=249&amp;tumorFrequencyKeys=74823,74824,74825,75152,75501,75885,80266,80442" TargetMode="External"/><Relationship Id="rId106" Type="http://schemas.openxmlformats.org/officeDocument/2006/relationships/hyperlink" Target="http://tumor.informatics.jax.org/mtbwi/tumorSummary.do?strainKey=164&amp;organOfOriginKey=13&amp;tumorFrequencyKeys=10920,10927,11391,11397,11403" TargetMode="External"/><Relationship Id="rId127" Type="http://schemas.openxmlformats.org/officeDocument/2006/relationships/hyperlink" Target="http://tumor.informatics.jax.org/mtbwi/tumorSummary.do?strainKey=164&amp;organOfOriginKey=131&amp;tumorFrequencyKeys=74852,75183,75528,75529,75530,75914" TargetMode="External"/><Relationship Id="rId10" Type="http://schemas.openxmlformats.org/officeDocument/2006/relationships/hyperlink" Target="http://tumor.informatics.jax.org/mtbwi/tumorSummary.do?strainKey=9064&amp;organOfOriginKey=15&amp;tumorFrequencyKeys=97560,97755" TargetMode="External"/><Relationship Id="rId31" Type="http://schemas.openxmlformats.org/officeDocument/2006/relationships/hyperlink" Target="http://tumor.informatics.jax.org/mtbwi/tumorSummary.do?strainKey=164&amp;organOfOriginKey=116&amp;tumorFrequencyKeys=80281,80457" TargetMode="External"/><Relationship Id="rId52" Type="http://schemas.openxmlformats.org/officeDocument/2006/relationships/hyperlink" Target="http://tumor.informatics.jax.org/mtbwi/tumorSummary.do?strainKey=164&amp;organOfOriginKey=12&amp;tumorFrequencyKeys=74966,75283,75691,76081,76082,76083" TargetMode="External"/><Relationship Id="rId73" Type="http://schemas.openxmlformats.org/officeDocument/2006/relationships/hyperlink" Target="http://tumor.informatics.jax.org/mtbwi/tumorSummary.do?strainKey=164&amp;organOfOriginKey=12&amp;tumorFrequencyKeys=74979,74980,74981,75296,75297,75298,75706,76104,76105,76106" TargetMode="External"/><Relationship Id="rId94" Type="http://schemas.openxmlformats.org/officeDocument/2006/relationships/hyperlink" Target="http://tumor.informatics.jax.org/mtbwi/tumorSummary.do?strainKey=164&amp;organOfOriginKey=48&amp;tumorFrequencyKeys=74860,75191,75538,75539,75540,75924,75925,75926" TargetMode="External"/><Relationship Id="rId148" Type="http://schemas.openxmlformats.org/officeDocument/2006/relationships/hyperlink" Target="http://tumor.informatics.jax.org/mtbwi/tumorSummary.do?strainKey=164&amp;organOfOriginKey=3&amp;tumorFrequencyKeys=80273,80449" TargetMode="External"/><Relationship Id="rId169" Type="http://schemas.openxmlformats.org/officeDocument/2006/relationships/hyperlink" Target="http://tumor.informatics.jax.org/mtbwi/tumorSummary.do?strainKey=164&amp;organOfOriginKey=4&amp;tumorFrequencyKeys=37538" TargetMode="External"/><Relationship Id="rId4" Type="http://schemas.openxmlformats.org/officeDocument/2006/relationships/hyperlink" Target="http://tumor.informatics.jax.org/mtbwi/tumorSummary.do?strainKey=9064&amp;organOfOriginKey=13&amp;tumorFrequencyKeys=97562,97757" TargetMode="External"/><Relationship Id="rId180" Type="http://schemas.openxmlformats.org/officeDocument/2006/relationships/hyperlink" Target="http://tumor.informatics.jax.org/mtbwi/tumorSummary.do?strainKey=164&amp;organOfOriginKey=2&amp;tumorFrequencyKeys=74784,74785,74786,75117,75462,75463,75464,75842,75843,75844" TargetMode="External"/><Relationship Id="rId215" Type="http://schemas.openxmlformats.org/officeDocument/2006/relationships/hyperlink" Target="http://tumor.informatics.jax.org/mtbwi/tumorSummary.do?strainKey=164&amp;organOfOriginKey=89&amp;tumorFrequencyKeys=44380,75674,75675,75676,76067,76068,76069" TargetMode="External"/><Relationship Id="rId236" Type="http://schemas.openxmlformats.org/officeDocument/2006/relationships/hyperlink" Target="http://tumor.informatics.jax.org/mtbwi/tumorSummary.do?strainKey=164&amp;organOfOriginKey=122&amp;tumorFrequencyKeys=74806,75135,75136,75137,75484,75485,75486,75866,75867,75868" TargetMode="External"/><Relationship Id="rId257" Type="http://schemas.openxmlformats.org/officeDocument/2006/relationships/hyperlink" Target="http://tumor.informatics.jax.org/mtbwi/tumorSummary.do?strainKey=164&amp;organOfOriginKey=45&amp;tumorFrequencyKeys=74880,75205,75556,75950,75951,75952" TargetMode="External"/><Relationship Id="rId42" Type="http://schemas.openxmlformats.org/officeDocument/2006/relationships/hyperlink" Target="http://tumor.informatics.jax.org/mtbwi/tumorSummary.do?strainKey=164&amp;organOfOriginKey=12&amp;tumorFrequencyKeys=74771,74772,74773,75106,75107,75108,75445,75831" TargetMode="External"/><Relationship Id="rId84" Type="http://schemas.openxmlformats.org/officeDocument/2006/relationships/hyperlink" Target="http://tumor.informatics.jax.org/mtbwi/tumorSummary.do?strainKey=164&amp;organOfOriginKey=51&amp;tumorFrequencyKeys=80635" TargetMode="External"/><Relationship Id="rId138" Type="http://schemas.openxmlformats.org/officeDocument/2006/relationships/hyperlink" Target="http://tumor.informatics.jax.org/mtbwi/tumorSummary.do?strainKey=164&amp;organOfOriginKey=75&amp;tumorFrequencyKeys=74864,74865,74866,75193,75542,75930,75931,75932" TargetMode="External"/><Relationship Id="rId191" Type="http://schemas.openxmlformats.org/officeDocument/2006/relationships/hyperlink" Target="http://tumor.informatics.jax.org/mtbwi/tumorSummary.do?strainKey=164&amp;organOfOriginKey=2&amp;tumorFrequencyKeys=75001,75316,75317,75318,75722,76135" TargetMode="External"/><Relationship Id="rId205" Type="http://schemas.openxmlformats.org/officeDocument/2006/relationships/hyperlink" Target="http://tumor.informatics.jax.org/mtbwi/tumorSummary.do?strainKey=164&amp;organOfOriginKey=97&amp;tumorFrequencyKeys=44382" TargetMode="External"/><Relationship Id="rId247" Type="http://schemas.openxmlformats.org/officeDocument/2006/relationships/hyperlink" Target="http://tumor.informatics.jax.org/mtbwi/tumorSummary.do?strainKey=164&amp;organOfOriginKey=11&amp;tumorFrequencyKeys=74945,74946,74947,75258" TargetMode="External"/><Relationship Id="rId107" Type="http://schemas.openxmlformats.org/officeDocument/2006/relationships/hyperlink" Target="http://tumor.informatics.jax.org/mtbwi/tumorSummary.do?strainKey=164&amp;organOfOriginKey=467&amp;tumorFrequencyKeys=44340,44392" TargetMode="External"/><Relationship Id="rId11" Type="http://schemas.openxmlformats.org/officeDocument/2006/relationships/hyperlink" Target="http://tumor.informatics.jax.org/mtbwi/tumorSummary.do?strainKey=9064&amp;organOfOriginKey=38&amp;tumorFrequencyKeys=97555,97750" TargetMode="External"/><Relationship Id="rId53" Type="http://schemas.openxmlformats.org/officeDocument/2006/relationships/hyperlink" Target="http://tumor.informatics.jax.org/mtbwi/tumorSummary.do?strainKey=164&amp;organOfOriginKey=12&amp;tumorFrequencyKeys=74978,75295,75705,76100,76101,76102" TargetMode="External"/><Relationship Id="rId149" Type="http://schemas.openxmlformats.org/officeDocument/2006/relationships/hyperlink" Target="http://tumor.informatics.jax.org/mtbwi/tumorSummary.do?strainKey=164&amp;organOfOriginKey=113&amp;tumorFrequencyKeys=74744,74745,74746,75081,75422,75810" TargetMode="External"/><Relationship Id="rId95" Type="http://schemas.openxmlformats.org/officeDocument/2006/relationships/hyperlink" Target="http://tumor.informatics.jax.org/mtbwi/tumorSummary.do?strainKey=164&amp;organOfOriginKey=48&amp;tumorFrequencyKeys=74920,74921,74922,75241,75594,75595,75596,75981" TargetMode="External"/><Relationship Id="rId160" Type="http://schemas.openxmlformats.org/officeDocument/2006/relationships/hyperlink" Target="http://tumor.informatics.jax.org/mtbwi/tumorSummary.do?strainKey=164&amp;organOfOriginKey=26&amp;tumorFrequencyKeys=30471,30492,30707,30727" TargetMode="External"/><Relationship Id="rId216" Type="http://schemas.openxmlformats.org/officeDocument/2006/relationships/hyperlink" Target="http://tumor.informatics.jax.org/mtbwi/tumorSummary.do?strainKey=164&amp;organOfOriginKey=80&amp;tumorFrequencyKeys=80638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tumor.informatics.jax.org/mtbwi/strainDetails.do?page=collapsed&amp;key=212" TargetMode="External"/><Relationship Id="rId1" Type="http://schemas.openxmlformats.org/officeDocument/2006/relationships/hyperlink" Target="http://tumor.informatics.jax.org/mtbwi/strainDetails.do?page=collapsed&amp;key=9066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tumor.informatics.jax.org/mtbwi/tumorSummary.do?strainKey=827&amp;organOfOriginKey=5&amp;tumorFrequencyKeys=4174" TargetMode="External"/><Relationship Id="rId2" Type="http://schemas.openxmlformats.org/officeDocument/2006/relationships/hyperlink" Target="http://tumor.informatics.jax.org/mtbwi/strainDetails.do?page=collapsed&amp;key=47" TargetMode="External"/><Relationship Id="rId1" Type="http://schemas.openxmlformats.org/officeDocument/2006/relationships/hyperlink" Target="http://tumor.informatics.jax.org/mtbwi/strainDetails.do?page=collapsed&amp;key=1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5"/>
  <sheetViews>
    <sheetView topLeftCell="E3" zoomScale="110" zoomScaleNormal="110" workbookViewId="0">
      <selection activeCell="BE10" sqref="BE10"/>
    </sheetView>
  </sheetViews>
  <sheetFormatPr baseColWidth="10" defaultColWidth="1.6640625" defaultRowHeight="15" x14ac:dyDescent="0.2"/>
  <cols>
    <col min="1" max="1" width="11.5" customWidth="1"/>
    <col min="2" max="56" width="6" customWidth="1"/>
    <col min="57" max="57" width="9.33203125" customWidth="1"/>
    <col min="58" max="58" width="9.6640625" customWidth="1"/>
    <col min="59" max="59" width="7.83203125" customWidth="1"/>
    <col min="60" max="60" width="7.33203125" customWidth="1"/>
    <col min="61" max="61" width="8.6640625" bestFit="1" customWidth="1"/>
  </cols>
  <sheetData>
    <row r="1" spans="1:61" x14ac:dyDescent="0.2">
      <c r="A1" s="1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</row>
    <row r="2" spans="1:61" ht="76.5" customHeight="1" thickBot="1" x14ac:dyDescent="0.25">
      <c r="A2" s="2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G2" s="23" t="s">
        <v>11</v>
      </c>
      <c r="BH2" s="23" t="s">
        <v>15</v>
      </c>
      <c r="BI2" s="20" t="s">
        <v>137</v>
      </c>
    </row>
    <row r="3" spans="1:61" ht="15" customHeight="1" thickBot="1" x14ac:dyDescent="0.2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8"/>
      <c r="BG3" s="19"/>
      <c r="BH3" s="19"/>
      <c r="BI3" s="19"/>
    </row>
    <row r="4" spans="1:61" s="11" customFormat="1" ht="15" customHeight="1" thickBot="1" x14ac:dyDescent="0.25">
      <c r="A4" s="10" t="s">
        <v>12</v>
      </c>
      <c r="B4" s="15">
        <f>B23</f>
        <v>1.6428571428571428</v>
      </c>
      <c r="C4" s="16">
        <f t="shared" ref="C4:BC4" si="0">C23</f>
        <v>1</v>
      </c>
      <c r="D4" s="16">
        <f t="shared" si="0"/>
        <v>2.0833333333333335</v>
      </c>
      <c r="E4" s="16">
        <f t="shared" si="0"/>
        <v>1</v>
      </c>
      <c r="F4" s="16">
        <f t="shared" si="0"/>
        <v>0</v>
      </c>
      <c r="G4" s="16"/>
      <c r="H4" s="15">
        <f t="shared" si="0"/>
        <v>1.625</v>
      </c>
      <c r="I4" s="15">
        <f t="shared" si="0"/>
        <v>13.157894736842104</v>
      </c>
      <c r="J4" s="16"/>
      <c r="K4" s="16">
        <f t="shared" si="0"/>
        <v>1</v>
      </c>
      <c r="L4" s="15">
        <f t="shared" si="0"/>
        <v>1.6666666666666667</v>
      </c>
      <c r="M4" s="16"/>
      <c r="N4" s="16">
        <f t="shared" si="0"/>
        <v>1</v>
      </c>
      <c r="O4" s="16"/>
      <c r="P4" s="15">
        <f t="shared" si="0"/>
        <v>4.4285714285714288</v>
      </c>
      <c r="Q4" s="16">
        <f t="shared" si="0"/>
        <v>1</v>
      </c>
      <c r="R4" s="16">
        <f t="shared" si="0"/>
        <v>8.6</v>
      </c>
      <c r="S4" s="16">
        <f t="shared" si="0"/>
        <v>2.5</v>
      </c>
      <c r="T4" s="15">
        <f t="shared" si="0"/>
        <v>1.1533333333333333</v>
      </c>
      <c r="U4" s="16">
        <f t="shared" si="0"/>
        <v>1</v>
      </c>
      <c r="V4" s="16">
        <f t="shared" si="0"/>
        <v>2</v>
      </c>
      <c r="W4" s="15">
        <f t="shared" si="0"/>
        <v>1</v>
      </c>
      <c r="X4" s="16"/>
      <c r="Y4" s="15">
        <f t="shared" si="0"/>
        <v>1.4</v>
      </c>
      <c r="Z4" s="16"/>
      <c r="AA4" s="16">
        <f t="shared" si="0"/>
        <v>0.91500000000000004</v>
      </c>
      <c r="AB4" s="16"/>
      <c r="AC4" s="16"/>
      <c r="AD4" s="16"/>
      <c r="AE4" s="16">
        <f t="shared" si="0"/>
        <v>2.9312500000000004</v>
      </c>
      <c r="AF4" s="16">
        <f t="shared" si="0"/>
        <v>14</v>
      </c>
      <c r="AG4" s="16"/>
      <c r="AH4" s="16"/>
      <c r="AI4" s="16">
        <f t="shared" si="0"/>
        <v>1.5</v>
      </c>
      <c r="AJ4" s="16">
        <f t="shared" si="0"/>
        <v>0</v>
      </c>
      <c r="AK4" s="16">
        <f t="shared" si="0"/>
        <v>1</v>
      </c>
      <c r="AL4" s="16">
        <f t="shared" si="0"/>
        <v>1.1333333333333333</v>
      </c>
      <c r="AM4" s="16">
        <f t="shared" si="0"/>
        <v>0.625</v>
      </c>
      <c r="AN4" s="16"/>
      <c r="AO4" s="15">
        <f t="shared" si="0"/>
        <v>1.03</v>
      </c>
      <c r="AP4" s="16"/>
      <c r="AQ4" s="16">
        <f t="shared" si="0"/>
        <v>9.3000000000000007</v>
      </c>
      <c r="AR4" s="16">
        <f t="shared" si="0"/>
        <v>1</v>
      </c>
      <c r="AS4" s="16">
        <f t="shared" si="0"/>
        <v>2</v>
      </c>
      <c r="AT4" s="16">
        <f t="shared" si="0"/>
        <v>0.75</v>
      </c>
      <c r="AU4" s="16">
        <f t="shared" si="0"/>
        <v>3.4375</v>
      </c>
      <c r="AV4" s="15">
        <f t="shared" si="0"/>
        <v>1.2809523809523811</v>
      </c>
      <c r="AW4" s="16">
        <f t="shared" si="0"/>
        <v>0.27500000000000002</v>
      </c>
      <c r="AX4" s="16">
        <f t="shared" si="0"/>
        <v>0.86363636363636365</v>
      </c>
      <c r="AY4" s="16"/>
      <c r="AZ4" s="15">
        <f t="shared" si="0"/>
        <v>5.7450000000000001</v>
      </c>
      <c r="BA4" s="16">
        <f t="shared" si="0"/>
        <v>0.75</v>
      </c>
      <c r="BB4" s="16"/>
      <c r="BC4" s="16">
        <f t="shared" si="0"/>
        <v>1</v>
      </c>
      <c r="BD4" s="16"/>
      <c r="BE4" s="52">
        <f>AVERAGE(B4:BD4)</f>
        <v>2.4819058646032337</v>
      </c>
      <c r="BF4" t="s">
        <v>12</v>
      </c>
      <c r="BG4" s="21">
        <v>11.2507613500321</v>
      </c>
      <c r="BH4" s="19">
        <v>3.9327600099159832</v>
      </c>
      <c r="BI4" s="22">
        <v>0.38529150000000001</v>
      </c>
    </row>
    <row r="5" spans="1:61" ht="16" thickBot="1" x14ac:dyDescent="0.25">
      <c r="A5" t="s">
        <v>0</v>
      </c>
      <c r="B5" s="13">
        <v>5</v>
      </c>
      <c r="D5">
        <v>5</v>
      </c>
      <c r="F5">
        <v>5</v>
      </c>
      <c r="H5" s="13">
        <v>2.5</v>
      </c>
      <c r="I5" s="13">
        <v>15</v>
      </c>
      <c r="J5">
        <v>2.5</v>
      </c>
      <c r="K5">
        <v>2.5</v>
      </c>
      <c r="L5" s="13">
        <v>2.5</v>
      </c>
      <c r="M5">
        <v>2.5</v>
      </c>
      <c r="N5">
        <v>1</v>
      </c>
      <c r="O5">
        <v>2.5</v>
      </c>
      <c r="P5" s="13">
        <v>35</v>
      </c>
      <c r="R5">
        <v>5</v>
      </c>
      <c r="S5">
        <v>5</v>
      </c>
      <c r="T5" s="13">
        <v>35</v>
      </c>
      <c r="V5">
        <v>15</v>
      </c>
      <c r="W5" s="13">
        <v>2.5</v>
      </c>
      <c r="X5">
        <v>20</v>
      </c>
      <c r="Y5" s="13">
        <v>20</v>
      </c>
      <c r="Z5">
        <v>2.5</v>
      </c>
      <c r="AA5">
        <v>5</v>
      </c>
      <c r="AC5">
        <v>0</v>
      </c>
      <c r="AE5">
        <v>65</v>
      </c>
      <c r="AF5">
        <v>2.5</v>
      </c>
      <c r="AG5">
        <v>35</v>
      </c>
      <c r="AI5">
        <v>2.5</v>
      </c>
      <c r="AJ5">
        <v>0</v>
      </c>
      <c r="AK5">
        <v>5</v>
      </c>
      <c r="AL5">
        <v>2.5</v>
      </c>
      <c r="AO5" s="13">
        <v>0</v>
      </c>
      <c r="AQ5">
        <v>65</v>
      </c>
      <c r="AS5">
        <v>2.5</v>
      </c>
      <c r="AT5">
        <v>0</v>
      </c>
      <c r="AU5">
        <v>5</v>
      </c>
      <c r="AV5" s="13">
        <v>2.5</v>
      </c>
      <c r="AX5">
        <v>15</v>
      </c>
      <c r="AY5">
        <v>5</v>
      </c>
      <c r="AZ5" s="13">
        <v>15</v>
      </c>
      <c r="BA5">
        <v>65</v>
      </c>
      <c r="BC5">
        <v>0</v>
      </c>
      <c r="BD5">
        <v>0</v>
      </c>
      <c r="BE5">
        <f>AVERAGE(B5:BD5)</f>
        <v>11.670731707317072</v>
      </c>
      <c r="BF5" t="s">
        <v>13</v>
      </c>
      <c r="BG5" s="21">
        <v>11.556109820919925</v>
      </c>
      <c r="BH5" s="19">
        <v>3.8970483002863303</v>
      </c>
      <c r="BI5" s="22">
        <v>0.42431039999999998</v>
      </c>
    </row>
    <row r="6" spans="1:61" ht="16" thickBot="1" x14ac:dyDescent="0.25">
      <c r="A6" t="s">
        <v>1</v>
      </c>
      <c r="B6" s="13">
        <v>5</v>
      </c>
      <c r="D6">
        <v>5</v>
      </c>
      <c r="H6" s="13">
        <v>1</v>
      </c>
      <c r="I6" s="13">
        <v>90</v>
      </c>
      <c r="L6" s="13">
        <v>5</v>
      </c>
      <c r="M6">
        <v>5</v>
      </c>
      <c r="N6">
        <v>1</v>
      </c>
      <c r="P6" s="13">
        <v>5</v>
      </c>
      <c r="R6">
        <v>5</v>
      </c>
      <c r="S6">
        <v>5</v>
      </c>
      <c r="T6" s="13">
        <v>35</v>
      </c>
      <c r="V6">
        <v>5</v>
      </c>
      <c r="W6" s="13">
        <v>5</v>
      </c>
      <c r="X6">
        <v>0</v>
      </c>
      <c r="Y6" s="13">
        <v>65</v>
      </c>
      <c r="Z6">
        <v>0</v>
      </c>
      <c r="AA6">
        <v>5</v>
      </c>
      <c r="AC6">
        <v>0</v>
      </c>
      <c r="AE6">
        <v>15</v>
      </c>
      <c r="AG6">
        <v>15</v>
      </c>
      <c r="AI6">
        <v>5</v>
      </c>
      <c r="AJ6">
        <v>0</v>
      </c>
      <c r="AL6">
        <v>0</v>
      </c>
      <c r="AO6" s="13">
        <v>2.5</v>
      </c>
      <c r="AQ6">
        <v>35</v>
      </c>
      <c r="AT6">
        <v>1</v>
      </c>
      <c r="AU6">
        <v>5</v>
      </c>
      <c r="AV6" s="13">
        <v>5</v>
      </c>
      <c r="AX6">
        <v>5</v>
      </c>
      <c r="AY6">
        <v>2.5</v>
      </c>
      <c r="AZ6" s="13">
        <v>15</v>
      </c>
      <c r="BA6">
        <v>5</v>
      </c>
      <c r="BC6">
        <v>0</v>
      </c>
      <c r="BD6">
        <v>0</v>
      </c>
      <c r="BE6">
        <f t="shared" ref="BE6:BE8" si="1">AVERAGE(B6:BD6)</f>
        <v>10.382352941176471</v>
      </c>
      <c r="BF6" t="s">
        <v>1</v>
      </c>
      <c r="BG6" s="21">
        <v>13.130422354451106</v>
      </c>
      <c r="BH6" s="19">
        <v>4.2540180040348696</v>
      </c>
      <c r="BI6" s="22">
        <v>0.51466199999999995</v>
      </c>
    </row>
    <row r="7" spans="1:61" ht="16" thickBot="1" x14ac:dyDescent="0.25">
      <c r="A7" t="s">
        <v>2</v>
      </c>
      <c r="B7" s="13">
        <v>5</v>
      </c>
      <c r="D7">
        <v>0</v>
      </c>
      <c r="H7" s="13">
        <v>15</v>
      </c>
      <c r="I7" s="13">
        <v>90</v>
      </c>
      <c r="L7" s="13">
        <v>0</v>
      </c>
      <c r="M7">
        <v>5</v>
      </c>
      <c r="N7">
        <v>2.5</v>
      </c>
      <c r="P7" s="13">
        <v>65</v>
      </c>
      <c r="R7">
        <v>2.5</v>
      </c>
      <c r="S7">
        <v>2.5</v>
      </c>
      <c r="T7" s="13">
        <v>5</v>
      </c>
      <c r="V7">
        <v>0</v>
      </c>
      <c r="W7" s="13">
        <v>2.5</v>
      </c>
      <c r="X7">
        <v>0</v>
      </c>
      <c r="Y7" s="13">
        <v>90</v>
      </c>
      <c r="Z7">
        <v>0</v>
      </c>
      <c r="AA7">
        <v>2.5</v>
      </c>
      <c r="AC7">
        <v>0</v>
      </c>
      <c r="AE7">
        <v>90</v>
      </c>
      <c r="AJ7">
        <v>0</v>
      </c>
      <c r="AL7">
        <v>0</v>
      </c>
      <c r="AO7" s="13">
        <v>0</v>
      </c>
      <c r="AP7">
        <v>2.5</v>
      </c>
      <c r="AQ7">
        <v>35</v>
      </c>
      <c r="AS7">
        <v>2.5</v>
      </c>
      <c r="AT7">
        <v>2.5</v>
      </c>
      <c r="AU7">
        <v>2.5</v>
      </c>
      <c r="AV7" s="13">
        <v>5</v>
      </c>
      <c r="AX7">
        <v>2.5</v>
      </c>
      <c r="AY7">
        <v>2.5</v>
      </c>
      <c r="AZ7" s="13">
        <v>5</v>
      </c>
      <c r="BA7">
        <v>0</v>
      </c>
      <c r="BB7">
        <v>2.5</v>
      </c>
      <c r="BC7">
        <v>2.5</v>
      </c>
      <c r="BD7">
        <v>0</v>
      </c>
      <c r="BE7">
        <f t="shared" si="1"/>
        <v>12.642857142857142</v>
      </c>
      <c r="BF7" t="s">
        <v>2</v>
      </c>
      <c r="BG7" s="21">
        <v>13.397733935603711</v>
      </c>
      <c r="BH7" s="19">
        <v>4.1423303204375506</v>
      </c>
      <c r="BI7" s="22">
        <v>0.4294885</v>
      </c>
    </row>
    <row r="8" spans="1:61" ht="16" thickBot="1" x14ac:dyDescent="0.25">
      <c r="A8" t="s">
        <v>3</v>
      </c>
      <c r="B8" s="13">
        <v>5</v>
      </c>
      <c r="D8">
        <v>5</v>
      </c>
      <c r="E8">
        <v>5</v>
      </c>
      <c r="F8">
        <v>0</v>
      </c>
      <c r="G8">
        <v>2.5</v>
      </c>
      <c r="H8" s="13">
        <v>5</v>
      </c>
      <c r="I8" s="13">
        <v>35</v>
      </c>
      <c r="L8" s="13">
        <v>0</v>
      </c>
      <c r="N8">
        <v>15</v>
      </c>
      <c r="P8" s="13">
        <v>5</v>
      </c>
      <c r="Q8">
        <v>5</v>
      </c>
      <c r="R8">
        <v>90</v>
      </c>
      <c r="S8">
        <v>35</v>
      </c>
      <c r="T8" s="13">
        <v>5</v>
      </c>
      <c r="U8">
        <v>0</v>
      </c>
      <c r="V8">
        <v>15</v>
      </c>
      <c r="W8" s="13">
        <v>5</v>
      </c>
      <c r="X8">
        <v>0</v>
      </c>
      <c r="Y8" s="13">
        <v>5</v>
      </c>
      <c r="Z8">
        <v>2.5</v>
      </c>
      <c r="AA8">
        <v>15</v>
      </c>
      <c r="AB8">
        <v>15</v>
      </c>
      <c r="AC8">
        <v>0</v>
      </c>
      <c r="AD8">
        <v>2.5</v>
      </c>
      <c r="AE8">
        <v>65</v>
      </c>
      <c r="AF8">
        <v>1</v>
      </c>
      <c r="AH8">
        <v>0</v>
      </c>
      <c r="AI8">
        <v>5</v>
      </c>
      <c r="AJ8">
        <v>2.5</v>
      </c>
      <c r="AL8">
        <v>5</v>
      </c>
      <c r="AM8">
        <v>0</v>
      </c>
      <c r="AN8">
        <v>2.5</v>
      </c>
      <c r="AO8" s="13">
        <v>0</v>
      </c>
      <c r="AP8">
        <v>5</v>
      </c>
      <c r="AQ8">
        <v>15</v>
      </c>
      <c r="AR8">
        <v>5</v>
      </c>
      <c r="AS8">
        <v>5</v>
      </c>
      <c r="AT8">
        <v>2.5</v>
      </c>
      <c r="AU8">
        <v>5</v>
      </c>
      <c r="AV8" s="13">
        <v>5</v>
      </c>
      <c r="AW8">
        <v>2.5</v>
      </c>
      <c r="AX8">
        <v>5</v>
      </c>
      <c r="AY8">
        <v>1</v>
      </c>
      <c r="AZ8" s="13">
        <v>5</v>
      </c>
      <c r="BA8">
        <v>5</v>
      </c>
      <c r="BC8">
        <v>5</v>
      </c>
      <c r="BD8">
        <v>2.5</v>
      </c>
      <c r="BE8">
        <f t="shared" si="1"/>
        <v>8.9787234042553195</v>
      </c>
      <c r="BF8" t="s">
        <v>14</v>
      </c>
      <c r="BG8" s="21">
        <v>11.248485416924321</v>
      </c>
      <c r="BH8" s="19">
        <v>3.828465784092097</v>
      </c>
      <c r="BI8" s="22">
        <v>0.38622299999999998</v>
      </c>
    </row>
    <row r="9" spans="1:61" x14ac:dyDescent="0.2">
      <c r="A9" t="s">
        <v>17</v>
      </c>
      <c r="B9" s="14">
        <f>PEARSON(B4:B8,$BG4:$BG8)</f>
        <v>0.4570727158025446</v>
      </c>
      <c r="D9" s="4">
        <f>PEARSON(D4:D8,$BG4:$BG8)</f>
        <v>-0.39993999248490703</v>
      </c>
      <c r="E9" s="4"/>
      <c r="F9" s="4"/>
      <c r="G9" s="4"/>
      <c r="H9" s="14">
        <f t="shared" ref="H9:I9" si="2">PEARSON(H4:H8,$BG4:$BG8)</f>
        <v>0.53415559747245778</v>
      </c>
      <c r="I9" s="18">
        <f t="shared" si="2"/>
        <v>0.95301915409524129</v>
      </c>
      <c r="J9" s="4"/>
      <c r="K9" s="4"/>
      <c r="L9" s="14">
        <f>PEARSON(L4:L8,$BG4:$BG8)</f>
        <v>0.25299325840677978</v>
      </c>
      <c r="M9" s="4"/>
      <c r="N9" s="4">
        <f>PEARSON(N4:N8,$BG4:$BG8)</f>
        <v>-0.39421288324021758</v>
      </c>
      <c r="O9" s="4"/>
      <c r="P9" s="14">
        <f>PEARSON(P4:P8,$BG4:$BG8)</f>
        <v>0.53065862146014653</v>
      </c>
      <c r="Q9" s="4"/>
      <c r="R9" s="4">
        <f t="shared" ref="R9:T9" si="3">PEARSON(R4:R8,$BG4:$BG8)</f>
        <v>-0.49831496981130896</v>
      </c>
      <c r="S9" s="4">
        <f t="shared" si="3"/>
        <v>-0.45565196653350415</v>
      </c>
      <c r="T9" s="14">
        <f t="shared" si="3"/>
        <v>0.2321991566077736</v>
      </c>
      <c r="U9" s="4"/>
      <c r="V9" s="4">
        <f t="shared" ref="V9:AA9" si="4">PEARSON(V4:V8,$BG4:$BG8)</f>
        <v>-0.59637874772176691</v>
      </c>
      <c r="W9" s="14">
        <f t="shared" si="4"/>
        <v>0.22381797356044206</v>
      </c>
      <c r="X9" s="4"/>
      <c r="Y9" s="18">
        <f t="shared" si="4"/>
        <v>0.98815527017206128</v>
      </c>
      <c r="Z9" s="4"/>
      <c r="AA9" s="4">
        <f t="shared" si="4"/>
        <v>-0.35884739953044215</v>
      </c>
      <c r="AB9" s="4"/>
      <c r="AC9" s="4"/>
      <c r="AD9" s="4"/>
      <c r="AE9" s="4">
        <f>PEARSON(AE4:AE8,$BG4:$BG8)</f>
        <v>0.22415432605213403</v>
      </c>
      <c r="AF9" s="4"/>
      <c r="AG9" s="4"/>
      <c r="AH9" s="4"/>
      <c r="AI9" s="4"/>
      <c r="AJ9" s="4">
        <f>PEARSON(AJ4:AJ8,$BG4:$BG8)</f>
        <v>-0.45827402935115363</v>
      </c>
      <c r="AK9" s="4"/>
      <c r="AL9" s="4">
        <f>PEARSON(AL4:AL8,$BG4:$BG8)</f>
        <v>-0.75608644111102985</v>
      </c>
      <c r="AM9" s="4"/>
      <c r="AN9" s="4"/>
      <c r="AO9" s="14">
        <f>PEARSON(AO4:AO8,$BG4:$BG8)</f>
        <v>0.35322356798286891</v>
      </c>
      <c r="AP9" s="4"/>
      <c r="AQ9" s="4">
        <f>PEARSON(AQ5:AQ8,$BG5:$BG8)</f>
        <v>-2.4056495793075713E-2</v>
      </c>
      <c r="AR9" s="4"/>
      <c r="AS9" s="4"/>
      <c r="AT9" s="4">
        <f t="shared" ref="AT9:AV9" si="5">PEARSON(AT4:AT8,$BG4:$BG8)</f>
        <v>0.29629056052802449</v>
      </c>
      <c r="AU9" s="4">
        <f t="shared" si="5"/>
        <v>-0.37608609110976027</v>
      </c>
      <c r="AV9" s="14">
        <f t="shared" si="5"/>
        <v>0.62101873818563913</v>
      </c>
      <c r="AW9" s="4"/>
      <c r="AX9" s="4">
        <f t="shared" ref="AX9:BC9" si="6">PEARSON(AX4:AX8,$BG4:$BG8)</f>
        <v>-0.2242331548567994</v>
      </c>
      <c r="AY9" s="4"/>
      <c r="AZ9" s="14">
        <f t="shared" si="6"/>
        <v>0.17147007276796974</v>
      </c>
      <c r="BA9" s="4">
        <f t="shared" si="6"/>
        <v>-0.30693151614800529</v>
      </c>
      <c r="BB9" s="4"/>
      <c r="BC9" s="4">
        <f t="shared" si="6"/>
        <v>-0.22429872360206132</v>
      </c>
      <c r="BD9" s="4"/>
      <c r="BE9" s="4">
        <f>PEARSON(BE5:BE8,$BG5:$BG8)</f>
        <v>0.56410622664131282</v>
      </c>
      <c r="BG9" s="3"/>
    </row>
    <row r="10" spans="1:61" x14ac:dyDescent="0.2">
      <c r="A10" t="s">
        <v>16</v>
      </c>
      <c r="B10" s="14">
        <f>PEARSON(B4:B8,$BH4:$BH8)</f>
        <v>0.24356984364005177</v>
      </c>
      <c r="C10" s="4"/>
      <c r="D10" s="4">
        <f>PEARSON(D4:D8,$BH4:$BH8)</f>
        <v>-0.26112246959022833</v>
      </c>
      <c r="E10" s="4"/>
      <c r="F10" s="4"/>
      <c r="G10" s="4"/>
      <c r="H10" s="14">
        <f t="shared" ref="H10:I10" si="7">PEARSON(H4:H8,$BH4:$BH8)</f>
        <v>0.21462123373584782</v>
      </c>
      <c r="I10" s="18">
        <f t="shared" si="7"/>
        <v>0.88466443684956841</v>
      </c>
      <c r="J10" s="4"/>
      <c r="K10" s="4"/>
      <c r="L10" s="14">
        <f>PEARSON(L4:L8,$BH4:$BH8)</f>
        <v>0.5376225571108707</v>
      </c>
      <c r="M10" s="4"/>
      <c r="N10" s="4">
        <f>PEARSON(N4:N8,$BH4:$BH8)</f>
        <v>-0.53609455270350304</v>
      </c>
      <c r="O10" s="4"/>
      <c r="P10" s="14">
        <f>PEARSON(P4:P8,$BH4:$BH8)</f>
        <v>0.23352701340123241</v>
      </c>
      <c r="Q10" s="4"/>
      <c r="R10" s="4">
        <f t="shared" ref="R10:T10" si="8">PEARSON(R4:R8,$BH4:$BH8)</f>
        <v>-0.59186690132336028</v>
      </c>
      <c r="S10" s="4">
        <f t="shared" si="8"/>
        <v>-0.55687006612066714</v>
      </c>
      <c r="T10" s="14">
        <f t="shared" si="8"/>
        <v>0.33832873914887768</v>
      </c>
      <c r="U10" s="4"/>
      <c r="V10" s="4">
        <f t="shared" ref="V10:W10" si="9">PEARSON(V4:V8,$BH4:$BH8)</f>
        <v>-0.6587832904089741</v>
      </c>
      <c r="W10" s="14">
        <f t="shared" si="9"/>
        <v>0.21364383065998535</v>
      </c>
      <c r="X10" s="4"/>
      <c r="Y10" s="18">
        <f t="shared" ref="Y10" si="10">PEARSON(Y4:Y8,$BH4:$BH8)</f>
        <v>0.86318178505167575</v>
      </c>
      <c r="Z10" s="4"/>
      <c r="AA10" s="4">
        <f t="shared" ref="AA10" si="11">PEARSON(AA4:AA8,$BH4:$BH8)</f>
        <v>-0.46540253229816197</v>
      </c>
      <c r="AB10" s="4"/>
      <c r="AC10" s="4"/>
      <c r="AD10" s="4"/>
      <c r="AE10" s="4">
        <f t="shared" ref="AE10" si="12">PEARSON(AE4:AE8,$BH4:$BH8)</f>
        <v>-0.15153576081772427</v>
      </c>
      <c r="AF10" s="4"/>
      <c r="AG10" s="4"/>
      <c r="AH10" s="4"/>
      <c r="AI10" s="4"/>
      <c r="AJ10" s="4">
        <f t="shared" ref="AJ10" si="13">PEARSON(AJ4:AJ8,$BH4:$BH8)</f>
        <v>-0.56856311781386182</v>
      </c>
      <c r="AK10" s="4"/>
      <c r="AL10" s="4">
        <f t="shared" ref="AL10" si="14">PEARSON(AL4:AL8,$BH4:$BH8)</f>
        <v>-0.85341231786867722</v>
      </c>
      <c r="AM10" s="4"/>
      <c r="AN10" s="4"/>
      <c r="AO10" s="14">
        <f t="shared" ref="AO10" si="15">PEARSON(AO4:AO8,$BH4:$BH8)</f>
        <v>0.66940469096781685</v>
      </c>
      <c r="AP10" s="4"/>
      <c r="AQ10" s="4">
        <f>PEARSON(AQ5:AQ8,$BH5:$BH8)</f>
        <v>3.0161494030748891E-3</v>
      </c>
      <c r="AR10" s="4"/>
      <c r="AS10" s="4"/>
      <c r="AT10" s="4">
        <f t="shared" ref="AT10:AV10" si="16">PEARSON(AT4:AT8,$BH4:$BH8)</f>
        <v>7.1202517180904881E-2</v>
      </c>
      <c r="AU10" s="4">
        <f t="shared" si="16"/>
        <v>-0.2477494070199093</v>
      </c>
      <c r="AV10" s="14">
        <f t="shared" si="16"/>
        <v>0.45641150119106655</v>
      </c>
      <c r="AW10" s="4"/>
      <c r="AX10" s="4">
        <f t="shared" ref="AX10:BC10" si="17">PEARSON(AX4:AX8,$BH4:$BH8)</f>
        <v>-0.28973682603442424</v>
      </c>
      <c r="AY10" s="4"/>
      <c r="AZ10" s="14">
        <f t="shared" si="17"/>
        <v>0.32142599968009544</v>
      </c>
      <c r="BA10" s="4">
        <f t="shared" si="17"/>
        <v>-0.3566847662412721</v>
      </c>
      <c r="BB10" s="4"/>
      <c r="BC10" s="4">
        <f t="shared" si="17"/>
        <v>-0.43729040116382056</v>
      </c>
      <c r="BD10" s="4"/>
      <c r="BE10" s="4">
        <f>PEARSON(BE5:BE8,$BH5:$BH8)</f>
        <v>0.38022952238553054</v>
      </c>
      <c r="BG10" s="3"/>
    </row>
    <row r="11" spans="1:61" x14ac:dyDescent="0.2">
      <c r="A11" t="s">
        <v>137</v>
      </c>
      <c r="B11" s="14">
        <f>PEARSON(B4:B8,$BI4:$BI8)</f>
        <v>0.45325911388903395</v>
      </c>
      <c r="C11" s="4"/>
      <c r="D11" s="14">
        <f t="shared" ref="D11:BC11" si="18">PEARSON(D4:D8,$BI4:$BI8)</f>
        <v>0.24272042260018006</v>
      </c>
      <c r="E11" s="4"/>
      <c r="F11" s="4"/>
      <c r="G11" s="4"/>
      <c r="H11" s="4">
        <f t="shared" si="18"/>
        <v>-0.14650454911307745</v>
      </c>
      <c r="I11" s="12">
        <f t="shared" si="18"/>
        <v>0.71774495528795956</v>
      </c>
      <c r="J11" s="4"/>
      <c r="K11" s="4"/>
      <c r="L11" s="12">
        <f t="shared" si="18"/>
        <v>0.80741381096716147</v>
      </c>
      <c r="M11" s="4"/>
      <c r="N11" s="4">
        <f t="shared" si="18"/>
        <v>-0.45127331265198523</v>
      </c>
      <c r="O11" s="4"/>
      <c r="P11" s="4">
        <f t="shared" si="18"/>
        <v>6.1108332177706995E-4</v>
      </c>
      <c r="Q11" s="4"/>
      <c r="R11" s="4">
        <f t="shared" si="18"/>
        <v>-0.463775234379464</v>
      </c>
      <c r="S11" s="4">
        <f t="shared" si="18"/>
        <v>-0.38909132453854145</v>
      </c>
      <c r="T11" s="12">
        <f t="shared" si="18"/>
        <v>0.73211592334720255</v>
      </c>
      <c r="U11" s="4"/>
      <c r="V11" s="4">
        <f t="shared" si="18"/>
        <v>-0.22130241724004424</v>
      </c>
      <c r="W11" s="14">
        <f t="shared" si="18"/>
        <v>0.47720881871866949</v>
      </c>
      <c r="X11" s="4"/>
      <c r="Y11" s="12">
        <f t="shared" si="18"/>
        <v>0.65567842795911813</v>
      </c>
      <c r="Z11" s="4"/>
      <c r="AA11" s="4">
        <f t="shared" si="18"/>
        <v>-0.21353050439757329</v>
      </c>
      <c r="AB11" s="4"/>
      <c r="AC11" s="4"/>
      <c r="AD11" s="4"/>
      <c r="AE11" s="4">
        <f t="shared" si="18"/>
        <v>-0.21137965695275288</v>
      </c>
      <c r="AF11" s="4"/>
      <c r="AG11" s="4"/>
      <c r="AH11" s="4"/>
      <c r="AI11" s="4"/>
      <c r="AJ11" s="4">
        <f t="shared" si="18"/>
        <v>-0.44337210056163545</v>
      </c>
      <c r="AK11" s="4"/>
      <c r="AL11" s="4">
        <f t="shared" si="18"/>
        <v>-0.60253003367592395</v>
      </c>
      <c r="AM11" s="4"/>
      <c r="AN11" s="4"/>
      <c r="AO11" s="12">
        <f t="shared" si="18"/>
        <v>0.74680981785564993</v>
      </c>
      <c r="AP11" s="4"/>
      <c r="AQ11" s="14">
        <f t="shared" si="18"/>
        <v>0.39574441903940355</v>
      </c>
      <c r="AR11" s="4"/>
      <c r="AS11" s="4"/>
      <c r="AT11" s="4">
        <f t="shared" si="18"/>
        <v>-0.19652790005591225</v>
      </c>
      <c r="AU11" s="4">
        <f t="shared" si="18"/>
        <v>0.25756377055779467</v>
      </c>
      <c r="AV11" s="14">
        <f t="shared" si="18"/>
        <v>0.4539903212333164</v>
      </c>
      <c r="AW11" s="4"/>
      <c r="AX11" s="4">
        <f t="shared" si="18"/>
        <v>0.11737688848254393</v>
      </c>
      <c r="AY11" s="4"/>
      <c r="AZ11" s="12">
        <f t="shared" si="18"/>
        <v>0.70804716840496662</v>
      </c>
      <c r="BA11" s="4">
        <f t="shared" si="18"/>
        <v>-7.9878134004509934E-3</v>
      </c>
      <c r="BB11" s="4"/>
      <c r="BC11" s="4">
        <f t="shared" si="18"/>
        <v>-0.55766306722047498</v>
      </c>
    </row>
    <row r="12" spans="1:61" x14ac:dyDescent="0.2">
      <c r="A12" t="s">
        <v>4</v>
      </c>
      <c r="V12">
        <v>90</v>
      </c>
    </row>
    <row r="13" spans="1:61" x14ac:dyDescent="0.2">
      <c r="A13" t="s">
        <v>5</v>
      </c>
      <c r="V13">
        <v>65</v>
      </c>
    </row>
    <row r="14" spans="1:61" x14ac:dyDescent="0.2">
      <c r="A14" t="s">
        <v>6</v>
      </c>
      <c r="V14">
        <v>35</v>
      </c>
    </row>
    <row r="15" spans="1:61" x14ac:dyDescent="0.2">
      <c r="A15" t="s">
        <v>7</v>
      </c>
      <c r="V15">
        <v>15</v>
      </c>
    </row>
    <row r="16" spans="1:61" x14ac:dyDescent="0.2">
      <c r="A16" t="s">
        <v>8</v>
      </c>
      <c r="V16">
        <v>5</v>
      </c>
    </row>
    <row r="17" spans="1:55" x14ac:dyDescent="0.2">
      <c r="A17" t="s">
        <v>9</v>
      </c>
      <c r="V17">
        <v>2.5</v>
      </c>
    </row>
    <row r="18" spans="1:55" x14ac:dyDescent="0.2">
      <c r="A18" t="s">
        <v>10</v>
      </c>
      <c r="V18">
        <v>0</v>
      </c>
    </row>
    <row r="20" spans="1:55" x14ac:dyDescent="0.2">
      <c r="A20" s="17" t="s">
        <v>136</v>
      </c>
      <c r="B20" s="17"/>
      <c r="C20" s="17"/>
      <c r="D20" s="17"/>
      <c r="E20" s="17"/>
      <c r="F20" s="17"/>
    </row>
    <row r="22" spans="1:55" ht="112" x14ac:dyDescent="0.2">
      <c r="B22" s="1" t="s">
        <v>43</v>
      </c>
      <c r="C22" s="1" t="s">
        <v>71</v>
      </c>
      <c r="D22" s="1" t="s">
        <v>25</v>
      </c>
      <c r="E22" s="1" t="s">
        <v>74</v>
      </c>
      <c r="F22" s="1" t="s">
        <v>76</v>
      </c>
      <c r="H22" s="1" t="s">
        <v>78</v>
      </c>
      <c r="I22" s="1" t="s">
        <v>30</v>
      </c>
      <c r="K22" s="1" t="s">
        <v>135</v>
      </c>
      <c r="L22" s="1" t="s">
        <v>45</v>
      </c>
      <c r="N22" s="1" t="s">
        <v>116</v>
      </c>
      <c r="P22" s="1" t="s">
        <v>130</v>
      </c>
      <c r="Q22" s="1" t="s">
        <v>103</v>
      </c>
      <c r="R22" s="1" t="s">
        <v>107</v>
      </c>
      <c r="S22" s="1" t="s">
        <v>122</v>
      </c>
      <c r="T22" s="1" t="s">
        <v>56</v>
      </c>
      <c r="U22" s="1" t="s">
        <v>108</v>
      </c>
      <c r="V22" s="1" t="s">
        <v>55</v>
      </c>
      <c r="W22" s="1" t="s">
        <v>127</v>
      </c>
      <c r="Y22" s="1" t="s">
        <v>32</v>
      </c>
      <c r="AA22" s="1" t="s">
        <v>37</v>
      </c>
      <c r="AE22" s="1" t="s">
        <v>29</v>
      </c>
      <c r="AF22" s="1" t="s">
        <v>86</v>
      </c>
      <c r="AI22" s="1" t="s">
        <v>119</v>
      </c>
      <c r="AJ22" s="1" t="s">
        <v>110</v>
      </c>
      <c r="AK22" s="1" t="s">
        <v>112</v>
      </c>
      <c r="AL22" s="1" t="s">
        <v>51</v>
      </c>
      <c r="AM22" s="1" t="s">
        <v>131</v>
      </c>
      <c r="AO22" s="1" t="s">
        <v>101</v>
      </c>
      <c r="AQ22" s="1" t="s">
        <v>31</v>
      </c>
      <c r="AR22" s="1" t="s">
        <v>96</v>
      </c>
      <c r="AS22" s="1" t="s">
        <v>61</v>
      </c>
      <c r="AT22" s="1" t="s">
        <v>35</v>
      </c>
      <c r="AU22" s="1" t="s">
        <v>132</v>
      </c>
      <c r="AV22" s="1" t="s">
        <v>133</v>
      </c>
      <c r="AW22" s="1" t="s">
        <v>91</v>
      </c>
      <c r="AX22" s="1" t="s">
        <v>134</v>
      </c>
      <c r="AZ22" s="1" t="s">
        <v>88</v>
      </c>
      <c r="BA22" s="1" t="s">
        <v>27</v>
      </c>
      <c r="BB22" s="1"/>
      <c r="BC22" s="1" t="s">
        <v>125</v>
      </c>
    </row>
    <row r="23" spans="1:55" x14ac:dyDescent="0.2">
      <c r="B23" s="8">
        <v>1.6428571428571428</v>
      </c>
      <c r="C23" s="8">
        <v>1</v>
      </c>
      <c r="D23" s="8">
        <v>2.0833333333333335</v>
      </c>
      <c r="E23" s="8">
        <v>1</v>
      </c>
      <c r="F23" s="8">
        <v>0</v>
      </c>
      <c r="H23" s="8">
        <v>1.625</v>
      </c>
      <c r="I23" s="8">
        <v>13.157894736842104</v>
      </c>
      <c r="K23" s="8">
        <v>1</v>
      </c>
      <c r="L23" s="8">
        <v>1.6666666666666667</v>
      </c>
      <c r="N23" s="8">
        <v>1</v>
      </c>
      <c r="P23" s="8">
        <v>4.4285714285714288</v>
      </c>
      <c r="Q23" s="8">
        <v>1</v>
      </c>
      <c r="R23" s="8">
        <v>8.6</v>
      </c>
      <c r="S23" s="8">
        <v>2.5</v>
      </c>
      <c r="T23" s="8">
        <v>1.1533333333333333</v>
      </c>
      <c r="U23" s="8">
        <v>1</v>
      </c>
      <c r="V23" s="8">
        <v>2</v>
      </c>
      <c r="W23" s="8">
        <v>1</v>
      </c>
      <c r="Y23" s="8">
        <v>1.4</v>
      </c>
      <c r="AA23" s="8">
        <v>0.91500000000000004</v>
      </c>
      <c r="AE23" s="8">
        <v>2.9312500000000004</v>
      </c>
      <c r="AF23" s="9">
        <v>14</v>
      </c>
      <c r="AI23" s="8">
        <v>1.5</v>
      </c>
      <c r="AJ23" s="8">
        <v>0</v>
      </c>
      <c r="AK23" s="8">
        <v>1</v>
      </c>
      <c r="AL23" s="8">
        <v>1.1333333333333333</v>
      </c>
      <c r="AM23" s="8">
        <v>0.625</v>
      </c>
      <c r="AO23" s="8">
        <v>1.03</v>
      </c>
      <c r="AQ23" s="8">
        <v>9.3000000000000007</v>
      </c>
      <c r="AR23" s="8">
        <v>1</v>
      </c>
      <c r="AS23" s="8">
        <v>2</v>
      </c>
      <c r="AT23" s="8">
        <v>0.75</v>
      </c>
      <c r="AU23" s="8">
        <v>3.4375</v>
      </c>
      <c r="AV23" s="8">
        <v>1.2809523809523811</v>
      </c>
      <c r="AW23" s="8">
        <v>0.27500000000000002</v>
      </c>
      <c r="AX23" s="8">
        <v>0.86363636363636365</v>
      </c>
      <c r="AZ23" s="8">
        <v>5.7450000000000001</v>
      </c>
      <c r="BA23" s="8">
        <v>0.75</v>
      </c>
      <c r="BB23" s="8"/>
      <c r="BC23" s="8">
        <v>1</v>
      </c>
    </row>
    <row r="24" spans="1:55" x14ac:dyDescent="0.2">
      <c r="F24" s="1"/>
      <c r="I24" s="1"/>
      <c r="AG24" s="1"/>
    </row>
    <row r="25" spans="1:55" x14ac:dyDescent="0.2">
      <c r="F25" s="8"/>
      <c r="I25" s="8"/>
      <c r="AG25" s="8"/>
    </row>
  </sheetData>
  <mergeCells count="56">
    <mergeCell ref="BD1:BD2"/>
    <mergeCell ref="A3:BD3"/>
    <mergeCell ref="AZ1:AZ2"/>
    <mergeCell ref="BA1:BA2"/>
    <mergeCell ref="BB1:BB2"/>
    <mergeCell ref="BC1:BC2"/>
    <mergeCell ref="AT1:AT2"/>
    <mergeCell ref="AU1:AU2"/>
    <mergeCell ref="AV1:AV2"/>
    <mergeCell ref="AW1:AW2"/>
    <mergeCell ref="AX1:AX2"/>
    <mergeCell ref="AY1:AY2"/>
    <mergeCell ref="AO1:AO2"/>
    <mergeCell ref="AP1:AP2"/>
    <mergeCell ref="AQ1:AQ2"/>
    <mergeCell ref="AR1:AR2"/>
    <mergeCell ref="AS1:AS2"/>
    <mergeCell ref="AK1:AK2"/>
    <mergeCell ref="AL1:AL2"/>
    <mergeCell ref="AM1:AM2"/>
    <mergeCell ref="AN1:AN2"/>
    <mergeCell ref="AF1:AF2"/>
    <mergeCell ref="AG1:AG2"/>
    <mergeCell ref="AH1:AH2"/>
    <mergeCell ref="AI1:AI2"/>
    <mergeCell ref="AJ1:AJ2"/>
    <mergeCell ref="AE1:AE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S1:S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G1:G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9"/>
  <sheetViews>
    <sheetView workbookViewId="0">
      <selection sqref="A1:A1048576"/>
    </sheetView>
  </sheetViews>
  <sheetFormatPr baseColWidth="10" defaultColWidth="8.83203125" defaultRowHeight="15" x14ac:dyDescent="0.2"/>
  <cols>
    <col min="1" max="1" width="43.5" customWidth="1"/>
  </cols>
  <sheetData>
    <row r="1" spans="1:1" ht="16" x14ac:dyDescent="0.2">
      <c r="A1" s="1" t="s">
        <v>35</v>
      </c>
    </row>
    <row r="2" spans="1:1" ht="16" x14ac:dyDescent="0.2">
      <c r="A2" s="1" t="s">
        <v>130</v>
      </c>
    </row>
    <row r="3" spans="1:1" ht="16" x14ac:dyDescent="0.2">
      <c r="A3" s="1" t="s">
        <v>43</v>
      </c>
    </row>
    <row r="4" spans="1:1" ht="16" x14ac:dyDescent="0.2">
      <c r="A4" s="1" t="s">
        <v>61</v>
      </c>
    </row>
    <row r="5" spans="1:1" ht="16" x14ac:dyDescent="0.2">
      <c r="A5" s="1" t="s">
        <v>60</v>
      </c>
    </row>
    <row r="6" spans="1:1" ht="16" x14ac:dyDescent="0.2">
      <c r="A6" s="1" t="s">
        <v>131</v>
      </c>
    </row>
    <row r="7" spans="1:1" ht="16" x14ac:dyDescent="0.2">
      <c r="A7" s="1" t="s">
        <v>132</v>
      </c>
    </row>
    <row r="8" spans="1:1" ht="16" x14ac:dyDescent="0.2">
      <c r="A8" s="1" t="s">
        <v>65</v>
      </c>
    </row>
    <row r="9" spans="1:1" ht="16" x14ac:dyDescent="0.2">
      <c r="A9" s="1" t="s">
        <v>71</v>
      </c>
    </row>
    <row r="10" spans="1:1" ht="16" x14ac:dyDescent="0.2">
      <c r="A10" s="1" t="s">
        <v>24</v>
      </c>
    </row>
    <row r="11" spans="1:1" ht="16" x14ac:dyDescent="0.2">
      <c r="A11" s="1" t="s">
        <v>72</v>
      </c>
    </row>
    <row r="12" spans="1:1" ht="16" x14ac:dyDescent="0.2">
      <c r="A12" s="1" t="s">
        <v>25</v>
      </c>
    </row>
    <row r="13" spans="1:1" ht="16" x14ac:dyDescent="0.2">
      <c r="A13" s="1" t="s">
        <v>74</v>
      </c>
    </row>
    <row r="14" spans="1:1" ht="16" x14ac:dyDescent="0.2">
      <c r="A14" s="1" t="s">
        <v>76</v>
      </c>
    </row>
    <row r="15" spans="1:1" ht="16" x14ac:dyDescent="0.2">
      <c r="A15" s="1" t="s">
        <v>26</v>
      </c>
    </row>
    <row r="16" spans="1:1" ht="16" x14ac:dyDescent="0.2">
      <c r="A16" s="1" t="s">
        <v>78</v>
      </c>
    </row>
    <row r="17" spans="1:1" ht="16" x14ac:dyDescent="0.2">
      <c r="A17" s="1" t="s">
        <v>27</v>
      </c>
    </row>
    <row r="18" spans="1:1" ht="16" x14ac:dyDescent="0.2">
      <c r="A18" s="1" t="s">
        <v>29</v>
      </c>
    </row>
    <row r="19" spans="1:1" ht="16" x14ac:dyDescent="0.2">
      <c r="A19" s="1" t="s">
        <v>30</v>
      </c>
    </row>
    <row r="20" spans="1:1" ht="16" x14ac:dyDescent="0.2">
      <c r="A20" s="1" t="s">
        <v>31</v>
      </c>
    </row>
    <row r="21" spans="1:1" ht="16" x14ac:dyDescent="0.2">
      <c r="A21" s="1" t="s">
        <v>86</v>
      </c>
    </row>
    <row r="22" spans="1:1" ht="16" x14ac:dyDescent="0.2">
      <c r="A22" s="1" t="s">
        <v>32</v>
      </c>
    </row>
    <row r="23" spans="1:1" ht="16" x14ac:dyDescent="0.2">
      <c r="A23" s="1" t="s">
        <v>133</v>
      </c>
    </row>
    <row r="24" spans="1:1" ht="16" x14ac:dyDescent="0.2">
      <c r="A24" s="1" t="s">
        <v>91</v>
      </c>
    </row>
    <row r="25" spans="1:1" ht="16" x14ac:dyDescent="0.2">
      <c r="A25" s="1" t="s">
        <v>134</v>
      </c>
    </row>
    <row r="26" spans="1:1" ht="16" x14ac:dyDescent="0.2">
      <c r="A26" s="1" t="s">
        <v>96</v>
      </c>
    </row>
    <row r="27" spans="1:1" ht="16" x14ac:dyDescent="0.2">
      <c r="A27" s="1" t="s">
        <v>135</v>
      </c>
    </row>
    <row r="28" spans="1:1" ht="16" x14ac:dyDescent="0.2">
      <c r="A28" s="1" t="s">
        <v>56</v>
      </c>
    </row>
    <row r="29" spans="1:1" ht="16" x14ac:dyDescent="0.2">
      <c r="A29" s="1" t="s">
        <v>45</v>
      </c>
    </row>
    <row r="30" spans="1:1" ht="16" x14ac:dyDescent="0.2">
      <c r="A30" s="1" t="s">
        <v>103</v>
      </c>
    </row>
    <row r="31" spans="1:1" ht="16" x14ac:dyDescent="0.2">
      <c r="A31" s="1" t="s">
        <v>107</v>
      </c>
    </row>
    <row r="32" spans="1:1" ht="16" x14ac:dyDescent="0.2">
      <c r="A32" s="1" t="s">
        <v>108</v>
      </c>
    </row>
    <row r="33" spans="1:1" ht="16" x14ac:dyDescent="0.2">
      <c r="A33" s="1" t="s">
        <v>101</v>
      </c>
    </row>
    <row r="34" spans="1:1" ht="16" x14ac:dyDescent="0.2">
      <c r="A34" s="1" t="s">
        <v>34</v>
      </c>
    </row>
    <row r="35" spans="1:1" ht="16" x14ac:dyDescent="0.2">
      <c r="A35" s="1" t="s">
        <v>110</v>
      </c>
    </row>
    <row r="36" spans="1:1" ht="16" x14ac:dyDescent="0.2">
      <c r="A36" s="1" t="s">
        <v>112</v>
      </c>
    </row>
    <row r="37" spans="1:1" ht="16" x14ac:dyDescent="0.2">
      <c r="A37" s="1" t="s">
        <v>37</v>
      </c>
    </row>
    <row r="38" spans="1:1" ht="16" x14ac:dyDescent="0.2">
      <c r="A38" s="1" t="s">
        <v>66</v>
      </c>
    </row>
    <row r="39" spans="1:1" ht="16" x14ac:dyDescent="0.2">
      <c r="A39" s="1" t="s">
        <v>51</v>
      </c>
    </row>
    <row r="40" spans="1:1" ht="16" x14ac:dyDescent="0.2">
      <c r="A40" s="1" t="s">
        <v>119</v>
      </c>
    </row>
    <row r="41" spans="1:1" ht="16" x14ac:dyDescent="0.2">
      <c r="A41" s="1" t="s">
        <v>122</v>
      </c>
    </row>
    <row r="42" spans="1:1" ht="16" x14ac:dyDescent="0.2">
      <c r="A42" s="1" t="s">
        <v>123</v>
      </c>
    </row>
    <row r="43" spans="1:1" ht="16" x14ac:dyDescent="0.2">
      <c r="A43" s="1" t="s">
        <v>125</v>
      </c>
    </row>
    <row r="44" spans="1:1" ht="16" x14ac:dyDescent="0.2">
      <c r="A44" s="1" t="s">
        <v>55</v>
      </c>
    </row>
    <row r="45" spans="1:1" ht="16" x14ac:dyDescent="0.2">
      <c r="A45" s="1" t="s">
        <v>127</v>
      </c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</sheetData>
  <sortState ref="A1:A108">
    <sortCondition ref="A1:A10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8"/>
  <sheetViews>
    <sheetView topLeftCell="B1" workbookViewId="0">
      <selection activeCell="G3" sqref="G3:G46"/>
    </sheetView>
  </sheetViews>
  <sheetFormatPr baseColWidth="10" defaultColWidth="30.5" defaultRowHeight="15" x14ac:dyDescent="0.2"/>
  <sheetData>
    <row r="1" spans="1:8" x14ac:dyDescent="0.2">
      <c r="A1" t="s">
        <v>129</v>
      </c>
    </row>
    <row r="2" spans="1:8" s="7" customFormat="1" ht="16" x14ac:dyDescent="0.2">
      <c r="A2" s="6" t="s">
        <v>18</v>
      </c>
      <c r="B2" s="6" t="s">
        <v>19</v>
      </c>
      <c r="C2" s="6" t="s">
        <v>20</v>
      </c>
      <c r="D2" s="6" t="s">
        <v>128</v>
      </c>
      <c r="E2" s="6" t="s">
        <v>21</v>
      </c>
    </row>
    <row r="3" spans="1:8" ht="16" x14ac:dyDescent="0.2">
      <c r="A3" s="1" t="s">
        <v>35</v>
      </c>
      <c r="B3" s="1" t="s">
        <v>36</v>
      </c>
      <c r="C3" s="1" t="s">
        <v>23</v>
      </c>
      <c r="D3" s="5">
        <v>8</v>
      </c>
      <c r="E3" s="1">
        <v>1</v>
      </c>
      <c r="G3" s="1" t="s">
        <v>35</v>
      </c>
      <c r="H3" s="8">
        <f>AVERAGEIF(A$3:A$278,G3,E$3:E$278)</f>
        <v>0.75</v>
      </c>
    </row>
    <row r="4" spans="1:8" ht="16" x14ac:dyDescent="0.2">
      <c r="A4" s="1" t="s">
        <v>35</v>
      </c>
      <c r="B4" s="1" t="s">
        <v>37</v>
      </c>
      <c r="C4" s="1" t="s">
        <v>23</v>
      </c>
      <c r="D4" s="5">
        <v>8</v>
      </c>
      <c r="E4" s="1">
        <v>1</v>
      </c>
      <c r="G4" s="1" t="s">
        <v>130</v>
      </c>
      <c r="H4" s="8">
        <f t="shared" ref="H4:H46" si="0">AVERAGEIF(A$3:A$278,G4,E$3:E$278)</f>
        <v>4.4285714285714288</v>
      </c>
    </row>
    <row r="5" spans="1:8" ht="16" x14ac:dyDescent="0.2">
      <c r="A5" s="1" t="s">
        <v>35</v>
      </c>
      <c r="B5" s="1" t="s">
        <v>38</v>
      </c>
      <c r="C5" s="1" t="s">
        <v>23</v>
      </c>
      <c r="D5" s="5">
        <v>6</v>
      </c>
      <c r="E5" s="1">
        <v>1</v>
      </c>
      <c r="G5" s="1" t="s">
        <v>43</v>
      </c>
      <c r="H5" s="8">
        <f t="shared" si="0"/>
        <v>1.6428571428571428</v>
      </c>
    </row>
    <row r="6" spans="1:8" ht="16" x14ac:dyDescent="0.2">
      <c r="A6" s="1" t="s">
        <v>35</v>
      </c>
      <c r="B6" s="1" t="s">
        <v>39</v>
      </c>
      <c r="C6" s="1" t="s">
        <v>23</v>
      </c>
      <c r="D6" s="5">
        <v>2</v>
      </c>
      <c r="E6" s="1">
        <v>0</v>
      </c>
      <c r="G6" s="1" t="s">
        <v>61</v>
      </c>
      <c r="H6" s="8">
        <f t="shared" si="0"/>
        <v>2</v>
      </c>
    </row>
    <row r="7" spans="1:8" ht="16" x14ac:dyDescent="0.2">
      <c r="A7" s="1" t="s">
        <v>130</v>
      </c>
      <c r="B7" s="1" t="s">
        <v>40</v>
      </c>
      <c r="C7" s="1" t="s">
        <v>23</v>
      </c>
      <c r="D7" s="5">
        <v>10</v>
      </c>
      <c r="E7" s="1">
        <v>10</v>
      </c>
      <c r="G7" s="1" t="s">
        <v>60</v>
      </c>
      <c r="H7" s="8">
        <f t="shared" si="0"/>
        <v>0</v>
      </c>
    </row>
    <row r="8" spans="1:8" ht="16" x14ac:dyDescent="0.2">
      <c r="A8" s="1" t="s">
        <v>130</v>
      </c>
      <c r="B8" s="1" t="s">
        <v>41</v>
      </c>
      <c r="C8" s="1" t="s">
        <v>23</v>
      </c>
      <c r="D8" s="5">
        <v>16</v>
      </c>
      <c r="E8" s="1">
        <v>12</v>
      </c>
      <c r="G8" s="1" t="s">
        <v>131</v>
      </c>
      <c r="H8" s="8">
        <f t="shared" si="0"/>
        <v>0.625</v>
      </c>
    </row>
    <row r="9" spans="1:8" ht="16" x14ac:dyDescent="0.2">
      <c r="A9" s="1" t="s">
        <v>130</v>
      </c>
      <c r="B9" s="1" t="s">
        <v>41</v>
      </c>
      <c r="C9" s="1" t="s">
        <v>23</v>
      </c>
      <c r="D9" s="5">
        <v>10</v>
      </c>
      <c r="E9" s="1">
        <v>1</v>
      </c>
      <c r="G9" s="1" t="s">
        <v>132</v>
      </c>
      <c r="H9" s="8">
        <f t="shared" si="0"/>
        <v>3.4375</v>
      </c>
    </row>
    <row r="10" spans="1:8" ht="16" x14ac:dyDescent="0.2">
      <c r="A10" s="1" t="s">
        <v>130</v>
      </c>
      <c r="B10" s="1" t="s">
        <v>41</v>
      </c>
      <c r="C10" s="1" t="s">
        <v>23</v>
      </c>
      <c r="D10" s="5">
        <v>1</v>
      </c>
      <c r="E10" s="1">
        <v>1</v>
      </c>
      <c r="G10" s="1" t="s">
        <v>65</v>
      </c>
      <c r="H10" s="8">
        <f t="shared" si="0"/>
        <v>1</v>
      </c>
    </row>
    <row r="11" spans="1:8" ht="16" x14ac:dyDescent="0.2">
      <c r="A11" s="1" t="s">
        <v>130</v>
      </c>
      <c r="B11" s="1" t="s">
        <v>41</v>
      </c>
      <c r="C11" s="1" t="s">
        <v>23</v>
      </c>
      <c r="D11" s="5">
        <v>1</v>
      </c>
      <c r="E11" s="1">
        <v>4</v>
      </c>
      <c r="G11" s="1" t="s">
        <v>71</v>
      </c>
      <c r="H11" s="8">
        <f t="shared" si="0"/>
        <v>1</v>
      </c>
    </row>
    <row r="12" spans="1:8" ht="16" x14ac:dyDescent="0.2">
      <c r="A12" s="1" t="s">
        <v>130</v>
      </c>
      <c r="B12" s="1" t="s">
        <v>42</v>
      </c>
      <c r="C12" s="1" t="s">
        <v>23</v>
      </c>
      <c r="D12" s="5">
        <v>17</v>
      </c>
      <c r="E12" s="1">
        <v>3</v>
      </c>
      <c r="G12" s="1" t="s">
        <v>88</v>
      </c>
      <c r="H12" s="8">
        <f t="shared" si="0"/>
        <v>5.7450000000000001</v>
      </c>
    </row>
    <row r="13" spans="1:8" ht="16" x14ac:dyDescent="0.2">
      <c r="A13" s="1" t="s">
        <v>130</v>
      </c>
      <c r="B13" s="1" t="s">
        <v>42</v>
      </c>
      <c r="C13" s="1" t="s">
        <v>23</v>
      </c>
      <c r="D13" s="5">
        <v>2</v>
      </c>
      <c r="E13" s="1">
        <v>0</v>
      </c>
      <c r="G13" s="1" t="s">
        <v>25</v>
      </c>
      <c r="H13" s="8">
        <f t="shared" si="0"/>
        <v>2.0833333333333335</v>
      </c>
    </row>
    <row r="14" spans="1:8" ht="16" x14ac:dyDescent="0.2">
      <c r="A14" s="1" t="s">
        <v>43</v>
      </c>
      <c r="B14" s="1" t="s">
        <v>43</v>
      </c>
      <c r="C14" s="1" t="s">
        <v>23</v>
      </c>
      <c r="D14" s="5">
        <v>50</v>
      </c>
      <c r="E14" s="1">
        <v>4</v>
      </c>
      <c r="G14" s="1" t="s">
        <v>74</v>
      </c>
      <c r="H14" s="8">
        <f t="shared" si="0"/>
        <v>1</v>
      </c>
    </row>
    <row r="15" spans="1:8" ht="16" x14ac:dyDescent="0.2">
      <c r="A15" s="1" t="s">
        <v>43</v>
      </c>
      <c r="B15" s="1" t="s">
        <v>44</v>
      </c>
      <c r="C15" s="1" t="s">
        <v>23</v>
      </c>
      <c r="D15" s="5">
        <v>6</v>
      </c>
      <c r="E15" s="1">
        <v>1</v>
      </c>
      <c r="G15" s="1" t="s">
        <v>76</v>
      </c>
      <c r="H15" s="8">
        <f t="shared" si="0"/>
        <v>0</v>
      </c>
    </row>
    <row r="16" spans="1:8" ht="16" x14ac:dyDescent="0.2">
      <c r="A16" s="1" t="s">
        <v>43</v>
      </c>
      <c r="B16" s="1" t="s">
        <v>30</v>
      </c>
      <c r="C16" s="1" t="s">
        <v>23</v>
      </c>
      <c r="D16" s="5">
        <v>12</v>
      </c>
      <c r="E16" s="1">
        <v>1</v>
      </c>
      <c r="G16" s="1" t="s">
        <v>26</v>
      </c>
      <c r="H16" s="8">
        <f t="shared" si="0"/>
        <v>0</v>
      </c>
    </row>
    <row r="17" spans="1:8" ht="16" x14ac:dyDescent="0.2">
      <c r="A17" s="1" t="s">
        <v>43</v>
      </c>
      <c r="B17" s="1" t="s">
        <v>45</v>
      </c>
      <c r="C17" s="1" t="s">
        <v>23</v>
      </c>
      <c r="D17" s="5">
        <v>8</v>
      </c>
      <c r="E17" s="1">
        <v>1</v>
      </c>
      <c r="G17" s="1" t="s">
        <v>78</v>
      </c>
      <c r="H17" s="8">
        <f t="shared" si="0"/>
        <v>1.625</v>
      </c>
    </row>
    <row r="18" spans="1:8" ht="16" x14ac:dyDescent="0.2">
      <c r="A18" s="1" t="s">
        <v>43</v>
      </c>
      <c r="B18" s="1" t="s">
        <v>36</v>
      </c>
      <c r="C18" s="1" t="s">
        <v>23</v>
      </c>
      <c r="D18" s="5">
        <v>8</v>
      </c>
      <c r="E18" s="1">
        <v>1</v>
      </c>
      <c r="G18" s="1" t="s">
        <v>27</v>
      </c>
      <c r="H18" s="8">
        <f t="shared" si="0"/>
        <v>0.75</v>
      </c>
    </row>
    <row r="19" spans="1:8" ht="16" x14ac:dyDescent="0.2">
      <c r="A19" s="1" t="s">
        <v>43</v>
      </c>
      <c r="B19" s="1" t="s">
        <v>46</v>
      </c>
      <c r="C19" s="1" t="s">
        <v>23</v>
      </c>
      <c r="D19" s="5">
        <v>6</v>
      </c>
      <c r="E19" s="1">
        <v>1</v>
      </c>
      <c r="G19" s="1" t="s">
        <v>29</v>
      </c>
      <c r="H19" s="8">
        <f t="shared" si="0"/>
        <v>2.9312500000000004</v>
      </c>
    </row>
    <row r="20" spans="1:8" ht="16" x14ac:dyDescent="0.2">
      <c r="A20" s="1" t="s">
        <v>43</v>
      </c>
      <c r="B20" s="1" t="s">
        <v>47</v>
      </c>
      <c r="C20" s="1" t="s">
        <v>23</v>
      </c>
      <c r="D20" s="5">
        <v>6</v>
      </c>
      <c r="E20" s="1">
        <v>1</v>
      </c>
      <c r="G20" s="1" t="s">
        <v>30</v>
      </c>
      <c r="H20" s="8">
        <f t="shared" si="0"/>
        <v>13.157894736842104</v>
      </c>
    </row>
    <row r="21" spans="1:8" ht="16" x14ac:dyDescent="0.2">
      <c r="A21" s="1" t="s">
        <v>43</v>
      </c>
      <c r="B21" s="1" t="s">
        <v>48</v>
      </c>
      <c r="C21" s="1" t="s">
        <v>23</v>
      </c>
      <c r="D21" s="5">
        <v>6</v>
      </c>
      <c r="E21" s="1">
        <v>1</v>
      </c>
      <c r="G21" s="1" t="s">
        <v>31</v>
      </c>
      <c r="H21" s="8">
        <f t="shared" si="0"/>
        <v>9.3000000000000007</v>
      </c>
    </row>
    <row r="22" spans="1:8" ht="16" x14ac:dyDescent="0.2">
      <c r="A22" s="1" t="s">
        <v>43</v>
      </c>
      <c r="B22" s="1" t="s">
        <v>49</v>
      </c>
      <c r="C22" s="1" t="s">
        <v>23</v>
      </c>
      <c r="D22" s="5">
        <v>6</v>
      </c>
      <c r="E22" s="1">
        <v>1</v>
      </c>
      <c r="G22" s="1" t="s">
        <v>86</v>
      </c>
      <c r="H22" s="8">
        <f t="shared" si="0"/>
        <v>14</v>
      </c>
    </row>
    <row r="23" spans="1:8" ht="16" x14ac:dyDescent="0.2">
      <c r="A23" s="1" t="s">
        <v>43</v>
      </c>
      <c r="B23" s="1" t="s">
        <v>50</v>
      </c>
      <c r="C23" s="1" t="s">
        <v>23</v>
      </c>
      <c r="D23" s="5">
        <v>12</v>
      </c>
      <c r="E23" s="1">
        <v>1</v>
      </c>
      <c r="G23" s="1" t="s">
        <v>32</v>
      </c>
      <c r="H23" s="8">
        <f t="shared" si="0"/>
        <v>1.4</v>
      </c>
    </row>
    <row r="24" spans="1:8" ht="16" x14ac:dyDescent="0.2">
      <c r="A24" s="1" t="s">
        <v>43</v>
      </c>
      <c r="B24" s="1" t="s">
        <v>37</v>
      </c>
      <c r="C24" s="1" t="s">
        <v>23</v>
      </c>
      <c r="D24" s="5">
        <v>10</v>
      </c>
      <c r="E24" s="1">
        <v>2</v>
      </c>
      <c r="G24" s="1" t="s">
        <v>133</v>
      </c>
      <c r="H24" s="8">
        <f t="shared" si="0"/>
        <v>1.2809523809523811</v>
      </c>
    </row>
    <row r="25" spans="1:8" ht="16" x14ac:dyDescent="0.2">
      <c r="A25" s="1" t="s">
        <v>43</v>
      </c>
      <c r="B25" s="1" t="s">
        <v>51</v>
      </c>
      <c r="C25" s="1" t="s">
        <v>23</v>
      </c>
      <c r="D25" s="5">
        <v>4</v>
      </c>
      <c r="E25" s="1">
        <v>1</v>
      </c>
      <c r="G25" s="1" t="s">
        <v>91</v>
      </c>
      <c r="H25" s="8">
        <f t="shared" si="0"/>
        <v>0.27500000000000002</v>
      </c>
    </row>
    <row r="26" spans="1:8" ht="16" x14ac:dyDescent="0.2">
      <c r="A26" s="1" t="s">
        <v>43</v>
      </c>
      <c r="B26" s="1" t="s">
        <v>52</v>
      </c>
      <c r="C26" s="1" t="s">
        <v>23</v>
      </c>
      <c r="D26" s="5">
        <v>4</v>
      </c>
      <c r="E26" s="1">
        <v>1</v>
      </c>
      <c r="G26" s="1" t="s">
        <v>134</v>
      </c>
      <c r="H26" s="8">
        <f t="shared" si="0"/>
        <v>0.86363636363636365</v>
      </c>
    </row>
    <row r="27" spans="1:8" ht="16" x14ac:dyDescent="0.2">
      <c r="A27" s="1" t="s">
        <v>43</v>
      </c>
      <c r="B27" s="1" t="s">
        <v>53</v>
      </c>
      <c r="C27" s="1" t="s">
        <v>23</v>
      </c>
      <c r="D27" s="5">
        <v>6</v>
      </c>
      <c r="E27" s="1">
        <v>1</v>
      </c>
      <c r="G27" s="1" t="s">
        <v>96</v>
      </c>
      <c r="H27" s="8">
        <f t="shared" si="0"/>
        <v>1</v>
      </c>
    </row>
    <row r="28" spans="1:8" ht="16" x14ac:dyDescent="0.2">
      <c r="A28" s="1" t="s">
        <v>43</v>
      </c>
      <c r="B28" s="1" t="s">
        <v>31</v>
      </c>
      <c r="C28" s="1" t="s">
        <v>23</v>
      </c>
      <c r="D28" s="5">
        <v>6</v>
      </c>
      <c r="E28" s="1">
        <v>1</v>
      </c>
      <c r="G28" s="1" t="s">
        <v>135</v>
      </c>
      <c r="H28" s="8">
        <f t="shared" si="0"/>
        <v>1</v>
      </c>
    </row>
    <row r="29" spans="1:8" ht="16" x14ac:dyDescent="0.2">
      <c r="A29" s="1" t="s">
        <v>43</v>
      </c>
      <c r="B29" s="1" t="s">
        <v>27</v>
      </c>
      <c r="C29" s="1" t="s">
        <v>23</v>
      </c>
      <c r="D29" s="5">
        <v>6</v>
      </c>
      <c r="E29" s="1">
        <v>1</v>
      </c>
      <c r="G29" s="1" t="s">
        <v>56</v>
      </c>
      <c r="H29" s="8">
        <f t="shared" si="0"/>
        <v>1.1533333333333333</v>
      </c>
    </row>
    <row r="30" spans="1:8" ht="16" x14ac:dyDescent="0.2">
      <c r="A30" s="1" t="s">
        <v>43</v>
      </c>
      <c r="B30" s="1" t="s">
        <v>54</v>
      </c>
      <c r="C30" s="1" t="s">
        <v>23</v>
      </c>
      <c r="D30" s="5">
        <v>6</v>
      </c>
      <c r="E30" s="1">
        <v>1</v>
      </c>
      <c r="G30" s="1" t="s">
        <v>45</v>
      </c>
      <c r="H30" s="8">
        <f t="shared" si="0"/>
        <v>1.6666666666666667</v>
      </c>
    </row>
    <row r="31" spans="1:8" ht="16" x14ac:dyDescent="0.2">
      <c r="A31" s="1" t="s">
        <v>43</v>
      </c>
      <c r="B31" s="1" t="s">
        <v>55</v>
      </c>
      <c r="C31" s="1" t="s">
        <v>23</v>
      </c>
      <c r="D31" s="5">
        <v>6</v>
      </c>
      <c r="E31" s="1">
        <v>2</v>
      </c>
      <c r="G31" s="1" t="s">
        <v>103</v>
      </c>
      <c r="H31" s="8">
        <f t="shared" si="0"/>
        <v>1</v>
      </c>
    </row>
    <row r="32" spans="1:8" ht="16" x14ac:dyDescent="0.2">
      <c r="A32" s="1" t="s">
        <v>43</v>
      </c>
      <c r="B32" s="1" t="s">
        <v>56</v>
      </c>
      <c r="C32" s="1" t="s">
        <v>23</v>
      </c>
      <c r="D32" s="5">
        <v>6</v>
      </c>
      <c r="E32" s="1">
        <v>2</v>
      </c>
      <c r="G32" s="1" t="s">
        <v>107</v>
      </c>
      <c r="H32" s="8">
        <f t="shared" si="0"/>
        <v>8.6</v>
      </c>
    </row>
    <row r="33" spans="1:8" ht="16" x14ac:dyDescent="0.2">
      <c r="A33" s="1" t="s">
        <v>43</v>
      </c>
      <c r="B33" s="1" t="s">
        <v>22</v>
      </c>
      <c r="C33" s="1" t="s">
        <v>23</v>
      </c>
      <c r="D33" s="5">
        <v>2</v>
      </c>
      <c r="E33" s="1">
        <v>0</v>
      </c>
      <c r="G33" s="1" t="s">
        <v>108</v>
      </c>
      <c r="H33" s="8">
        <f t="shared" si="0"/>
        <v>1</v>
      </c>
    </row>
    <row r="34" spans="1:8" ht="16" x14ac:dyDescent="0.2">
      <c r="A34" s="1" t="s">
        <v>43</v>
      </c>
      <c r="B34" s="1" t="s">
        <v>43</v>
      </c>
      <c r="C34" s="1" t="s">
        <v>23</v>
      </c>
      <c r="D34" s="5">
        <v>53</v>
      </c>
      <c r="E34" s="1">
        <v>7</v>
      </c>
      <c r="G34" s="1" t="s">
        <v>101</v>
      </c>
      <c r="H34" s="8">
        <f t="shared" si="0"/>
        <v>1.03</v>
      </c>
    </row>
    <row r="35" spans="1:8" ht="16" x14ac:dyDescent="0.2">
      <c r="A35" s="1" t="s">
        <v>43</v>
      </c>
      <c r="B35" s="1" t="s">
        <v>30</v>
      </c>
      <c r="C35" s="1" t="s">
        <v>23</v>
      </c>
      <c r="D35" s="5">
        <v>16</v>
      </c>
      <c r="E35" s="1">
        <v>3</v>
      </c>
      <c r="G35" s="1" t="s">
        <v>34</v>
      </c>
      <c r="H35" s="8">
        <f t="shared" si="0"/>
        <v>0.27500000000000002</v>
      </c>
    </row>
    <row r="36" spans="1:8" ht="16" x14ac:dyDescent="0.2">
      <c r="A36" s="1" t="s">
        <v>43</v>
      </c>
      <c r="B36" s="1" t="s">
        <v>22</v>
      </c>
      <c r="C36" s="1" t="s">
        <v>23</v>
      </c>
      <c r="D36" s="5">
        <v>10</v>
      </c>
      <c r="E36" s="1">
        <v>1</v>
      </c>
      <c r="G36" s="1" t="s">
        <v>110</v>
      </c>
      <c r="H36" s="8">
        <f t="shared" si="0"/>
        <v>0</v>
      </c>
    </row>
    <row r="37" spans="1:8" ht="16" x14ac:dyDescent="0.2">
      <c r="A37" s="1" t="s">
        <v>43</v>
      </c>
      <c r="B37" s="1" t="s">
        <v>57</v>
      </c>
      <c r="C37" s="1" t="s">
        <v>23</v>
      </c>
      <c r="D37" s="5">
        <v>6</v>
      </c>
      <c r="E37" s="1">
        <v>1</v>
      </c>
      <c r="G37" s="1" t="s">
        <v>112</v>
      </c>
      <c r="H37" s="8">
        <f t="shared" si="0"/>
        <v>1</v>
      </c>
    </row>
    <row r="38" spans="1:8" ht="16" x14ac:dyDescent="0.2">
      <c r="A38" s="1" t="s">
        <v>43</v>
      </c>
      <c r="B38" s="1" t="s">
        <v>36</v>
      </c>
      <c r="C38" s="1" t="s">
        <v>23</v>
      </c>
      <c r="D38" s="5">
        <v>10</v>
      </c>
      <c r="E38" s="1">
        <v>1</v>
      </c>
      <c r="G38" s="1" t="s">
        <v>37</v>
      </c>
      <c r="H38" s="8">
        <f t="shared" si="0"/>
        <v>0.91500000000000004</v>
      </c>
    </row>
    <row r="39" spans="1:8" ht="16" x14ac:dyDescent="0.2">
      <c r="A39" s="1" t="s">
        <v>43</v>
      </c>
      <c r="B39" s="1" t="s">
        <v>46</v>
      </c>
      <c r="C39" s="1" t="s">
        <v>23</v>
      </c>
      <c r="D39" s="5">
        <v>12</v>
      </c>
      <c r="E39" s="1">
        <v>2</v>
      </c>
      <c r="G39" s="1" t="s">
        <v>116</v>
      </c>
      <c r="H39" s="8">
        <f t="shared" si="0"/>
        <v>1</v>
      </c>
    </row>
    <row r="40" spans="1:8" ht="16" x14ac:dyDescent="0.2">
      <c r="A40" s="1" t="s">
        <v>43</v>
      </c>
      <c r="B40" s="1" t="s">
        <v>48</v>
      </c>
      <c r="C40" s="1" t="s">
        <v>23</v>
      </c>
      <c r="D40" s="5">
        <v>8</v>
      </c>
      <c r="E40" s="1">
        <v>1</v>
      </c>
      <c r="G40" s="1" t="s">
        <v>51</v>
      </c>
      <c r="H40" s="8">
        <f t="shared" si="0"/>
        <v>1.1333333333333333</v>
      </c>
    </row>
    <row r="41" spans="1:8" ht="16" x14ac:dyDescent="0.2">
      <c r="A41" s="1" t="s">
        <v>43</v>
      </c>
      <c r="B41" s="1" t="s">
        <v>49</v>
      </c>
      <c r="C41" s="1" t="s">
        <v>23</v>
      </c>
      <c r="D41" s="5">
        <v>6</v>
      </c>
      <c r="E41" s="1">
        <v>1</v>
      </c>
      <c r="G41" s="1" t="s">
        <v>119</v>
      </c>
      <c r="H41" s="8">
        <f t="shared" si="0"/>
        <v>1.5</v>
      </c>
    </row>
    <row r="42" spans="1:8" ht="16" x14ac:dyDescent="0.2">
      <c r="A42" s="1" t="s">
        <v>43</v>
      </c>
      <c r="B42" s="1" t="s">
        <v>50</v>
      </c>
      <c r="C42" s="1" t="s">
        <v>23</v>
      </c>
      <c r="D42" s="5">
        <v>12</v>
      </c>
      <c r="E42" s="1">
        <v>4</v>
      </c>
      <c r="G42" s="1" t="s">
        <v>122</v>
      </c>
      <c r="H42" s="8">
        <f t="shared" si="0"/>
        <v>2.5</v>
      </c>
    </row>
    <row r="43" spans="1:8" ht="16" x14ac:dyDescent="0.2">
      <c r="A43" s="1" t="s">
        <v>43</v>
      </c>
      <c r="B43" s="1" t="s">
        <v>28</v>
      </c>
      <c r="C43" s="1" t="s">
        <v>23</v>
      </c>
      <c r="D43" s="5">
        <v>6</v>
      </c>
      <c r="E43" s="1">
        <v>1</v>
      </c>
      <c r="G43" s="1" t="s">
        <v>123</v>
      </c>
      <c r="H43" s="8">
        <f t="shared" si="0"/>
        <v>2</v>
      </c>
    </row>
    <row r="44" spans="1:8" ht="16" x14ac:dyDescent="0.2">
      <c r="A44" s="1" t="s">
        <v>43</v>
      </c>
      <c r="B44" s="1" t="s">
        <v>37</v>
      </c>
      <c r="C44" s="1" t="s">
        <v>23</v>
      </c>
      <c r="D44" s="5">
        <v>12</v>
      </c>
      <c r="E44" s="1">
        <v>2</v>
      </c>
      <c r="G44" s="1" t="s">
        <v>125</v>
      </c>
      <c r="H44" s="8">
        <f t="shared" si="0"/>
        <v>1</v>
      </c>
    </row>
    <row r="45" spans="1:8" ht="16" x14ac:dyDescent="0.2">
      <c r="A45" s="1" t="s">
        <v>43</v>
      </c>
      <c r="B45" s="1" t="s">
        <v>58</v>
      </c>
      <c r="C45" s="1" t="s">
        <v>23</v>
      </c>
      <c r="D45" s="5">
        <v>8</v>
      </c>
      <c r="E45" s="1">
        <v>1</v>
      </c>
      <c r="G45" s="1" t="s">
        <v>55</v>
      </c>
      <c r="H45" s="8">
        <f t="shared" si="0"/>
        <v>2</v>
      </c>
    </row>
    <row r="46" spans="1:8" ht="16" x14ac:dyDescent="0.2">
      <c r="A46" s="1" t="s">
        <v>43</v>
      </c>
      <c r="B46" s="1" t="s">
        <v>59</v>
      </c>
      <c r="C46" s="1" t="s">
        <v>23</v>
      </c>
      <c r="D46" s="5">
        <v>10</v>
      </c>
      <c r="E46" s="1">
        <v>1</v>
      </c>
      <c r="G46" s="1" t="s">
        <v>127</v>
      </c>
      <c r="H46" s="8">
        <f t="shared" si="0"/>
        <v>1</v>
      </c>
    </row>
    <row r="47" spans="1:8" ht="16" x14ac:dyDescent="0.2">
      <c r="A47" s="1" t="s">
        <v>43</v>
      </c>
      <c r="B47" s="1" t="s">
        <v>34</v>
      </c>
      <c r="C47" s="1" t="s">
        <v>23</v>
      </c>
      <c r="D47" s="5">
        <v>2</v>
      </c>
      <c r="E47" s="1">
        <v>0</v>
      </c>
      <c r="H47" s="8"/>
    </row>
    <row r="48" spans="1:8" ht="16" x14ac:dyDescent="0.2">
      <c r="A48" s="1" t="s">
        <v>43</v>
      </c>
      <c r="B48" s="1" t="s">
        <v>51</v>
      </c>
      <c r="C48" s="1" t="s">
        <v>23</v>
      </c>
      <c r="D48" s="5">
        <v>4</v>
      </c>
      <c r="E48" s="1">
        <v>1</v>
      </c>
    </row>
    <row r="49" spans="1:5" ht="16" x14ac:dyDescent="0.2">
      <c r="A49" s="1" t="s">
        <v>43</v>
      </c>
      <c r="B49" s="1" t="s">
        <v>31</v>
      </c>
      <c r="C49" s="1" t="s">
        <v>23</v>
      </c>
      <c r="D49" s="5">
        <v>10</v>
      </c>
      <c r="E49" s="1">
        <v>1</v>
      </c>
    </row>
    <row r="50" spans="1:5" ht="16" x14ac:dyDescent="0.2">
      <c r="A50" s="1" t="s">
        <v>43</v>
      </c>
      <c r="B50" s="1" t="s">
        <v>27</v>
      </c>
      <c r="C50" s="1" t="s">
        <v>23</v>
      </c>
      <c r="D50" s="5">
        <v>6</v>
      </c>
      <c r="E50" s="1">
        <v>1</v>
      </c>
    </row>
    <row r="51" spans="1:5" ht="16" x14ac:dyDescent="0.2">
      <c r="A51" s="1" t="s">
        <v>43</v>
      </c>
      <c r="B51" s="1" t="s">
        <v>54</v>
      </c>
      <c r="C51" s="1" t="s">
        <v>23</v>
      </c>
      <c r="D51" s="5">
        <v>8</v>
      </c>
      <c r="E51" s="1">
        <v>1</v>
      </c>
    </row>
    <row r="52" spans="1:5" ht="16" x14ac:dyDescent="0.2">
      <c r="A52" s="1" t="s">
        <v>43</v>
      </c>
      <c r="B52" s="1" t="s">
        <v>60</v>
      </c>
      <c r="C52" s="1" t="s">
        <v>23</v>
      </c>
      <c r="D52" s="5">
        <v>6</v>
      </c>
      <c r="E52" s="1">
        <v>1</v>
      </c>
    </row>
    <row r="53" spans="1:5" ht="16" x14ac:dyDescent="0.2">
      <c r="A53" s="1" t="s">
        <v>43</v>
      </c>
      <c r="B53" s="1" t="s">
        <v>55</v>
      </c>
      <c r="C53" s="1" t="s">
        <v>23</v>
      </c>
      <c r="D53" s="5">
        <v>6</v>
      </c>
      <c r="E53" s="1">
        <v>2</v>
      </c>
    </row>
    <row r="54" spans="1:5" ht="16" x14ac:dyDescent="0.2">
      <c r="A54" s="1" t="s">
        <v>43</v>
      </c>
      <c r="B54" s="1" t="s">
        <v>56</v>
      </c>
      <c r="C54" s="1" t="s">
        <v>23</v>
      </c>
      <c r="D54" s="5">
        <v>4</v>
      </c>
      <c r="E54" s="1">
        <v>1</v>
      </c>
    </row>
    <row r="55" spans="1:5" ht="16" x14ac:dyDescent="0.2">
      <c r="A55" s="1" t="s">
        <v>43</v>
      </c>
      <c r="B55" s="1" t="s">
        <v>43</v>
      </c>
      <c r="C55" s="1" t="s">
        <v>23</v>
      </c>
      <c r="D55" s="5">
        <v>31</v>
      </c>
      <c r="E55" s="1">
        <v>10</v>
      </c>
    </row>
    <row r="56" spans="1:5" ht="16" x14ac:dyDescent="0.2">
      <c r="A56" s="1" t="s">
        <v>61</v>
      </c>
      <c r="B56" s="1" t="s">
        <v>58</v>
      </c>
      <c r="C56" s="1" t="s">
        <v>23</v>
      </c>
      <c r="D56" s="5">
        <v>16</v>
      </c>
      <c r="E56" s="1">
        <v>2</v>
      </c>
    </row>
    <row r="57" spans="1:5" ht="16" x14ac:dyDescent="0.2">
      <c r="A57" s="1" t="s">
        <v>60</v>
      </c>
      <c r="B57" s="1" t="s">
        <v>60</v>
      </c>
      <c r="C57" s="1" t="s">
        <v>23</v>
      </c>
      <c r="D57" s="5">
        <v>1</v>
      </c>
      <c r="E57" s="1">
        <v>0</v>
      </c>
    </row>
    <row r="58" spans="1:5" ht="16" x14ac:dyDescent="0.2">
      <c r="A58" s="1" t="s">
        <v>60</v>
      </c>
      <c r="B58" s="1" t="s">
        <v>60</v>
      </c>
      <c r="C58" s="1" t="s">
        <v>23</v>
      </c>
      <c r="D58" s="5">
        <v>1</v>
      </c>
      <c r="E58" s="1">
        <v>0</v>
      </c>
    </row>
    <row r="59" spans="1:5" ht="16" x14ac:dyDescent="0.2">
      <c r="A59" s="1" t="s">
        <v>60</v>
      </c>
      <c r="B59" s="1" t="s">
        <v>60</v>
      </c>
      <c r="C59" s="1" t="s">
        <v>23</v>
      </c>
      <c r="D59" s="5">
        <v>2</v>
      </c>
      <c r="E59" s="1">
        <v>0</v>
      </c>
    </row>
    <row r="60" spans="1:5" ht="16" x14ac:dyDescent="0.2">
      <c r="A60" s="1" t="s">
        <v>131</v>
      </c>
      <c r="B60" s="1" t="s">
        <v>62</v>
      </c>
      <c r="C60" s="1" t="s">
        <v>23</v>
      </c>
      <c r="D60" s="5">
        <v>4</v>
      </c>
      <c r="E60" s="1">
        <v>0.25</v>
      </c>
    </row>
    <row r="61" spans="1:5" ht="16" x14ac:dyDescent="0.2">
      <c r="A61" s="1" t="s">
        <v>131</v>
      </c>
      <c r="B61" s="1" t="s">
        <v>63</v>
      </c>
      <c r="C61" s="1" t="s">
        <v>23</v>
      </c>
      <c r="D61" s="5">
        <v>10</v>
      </c>
      <c r="E61" s="1">
        <v>1</v>
      </c>
    </row>
    <row r="62" spans="1:5" ht="16" x14ac:dyDescent="0.2">
      <c r="A62" s="1" t="s">
        <v>132</v>
      </c>
      <c r="B62" s="1" t="s">
        <v>37</v>
      </c>
      <c r="C62" s="1" t="s">
        <v>23</v>
      </c>
      <c r="D62" s="5">
        <v>10</v>
      </c>
      <c r="E62" s="1">
        <v>5</v>
      </c>
    </row>
    <row r="63" spans="1:5" ht="16" x14ac:dyDescent="0.2">
      <c r="A63" s="1" t="s">
        <v>132</v>
      </c>
      <c r="B63" s="1" t="s">
        <v>64</v>
      </c>
      <c r="C63" s="1" t="s">
        <v>23</v>
      </c>
      <c r="D63" s="5">
        <v>2</v>
      </c>
      <c r="E63" s="1">
        <v>0.25</v>
      </c>
    </row>
    <row r="64" spans="1:5" ht="16" x14ac:dyDescent="0.2">
      <c r="A64" s="1" t="s">
        <v>132</v>
      </c>
      <c r="B64" s="1" t="s">
        <v>65</v>
      </c>
      <c r="C64" s="1" t="s">
        <v>23</v>
      </c>
      <c r="D64" s="5">
        <v>6</v>
      </c>
      <c r="E64" s="1">
        <v>1</v>
      </c>
    </row>
    <row r="65" spans="1:5" ht="16" x14ac:dyDescent="0.2">
      <c r="A65" s="1" t="s">
        <v>132</v>
      </c>
      <c r="B65" s="1" t="s">
        <v>59</v>
      </c>
      <c r="C65" s="1" t="s">
        <v>23</v>
      </c>
      <c r="D65" s="5">
        <v>8</v>
      </c>
      <c r="E65" s="1">
        <v>1</v>
      </c>
    </row>
    <row r="66" spans="1:5" ht="16" x14ac:dyDescent="0.2">
      <c r="A66" s="1" t="s">
        <v>132</v>
      </c>
      <c r="B66" s="1" t="s">
        <v>37</v>
      </c>
      <c r="C66" s="1" t="s">
        <v>23</v>
      </c>
      <c r="D66" s="5">
        <v>14</v>
      </c>
      <c r="E66" s="1">
        <v>14</v>
      </c>
    </row>
    <row r="67" spans="1:5" ht="16" x14ac:dyDescent="0.2">
      <c r="A67" s="1" t="s">
        <v>132</v>
      </c>
      <c r="B67" s="1" t="s">
        <v>66</v>
      </c>
      <c r="C67" s="1" t="s">
        <v>23</v>
      </c>
      <c r="D67" s="5">
        <v>6</v>
      </c>
      <c r="E67" s="1">
        <v>1</v>
      </c>
    </row>
    <row r="68" spans="1:5" ht="16" x14ac:dyDescent="0.2">
      <c r="A68" s="1" t="s">
        <v>132</v>
      </c>
      <c r="B68" s="1" t="s">
        <v>67</v>
      </c>
      <c r="C68" s="1" t="s">
        <v>23</v>
      </c>
      <c r="D68" s="5">
        <v>6</v>
      </c>
      <c r="E68" s="1">
        <v>1</v>
      </c>
    </row>
    <row r="69" spans="1:5" ht="16" x14ac:dyDescent="0.2">
      <c r="A69" s="1" t="s">
        <v>132</v>
      </c>
      <c r="B69" s="1" t="s">
        <v>45</v>
      </c>
      <c r="C69" s="1" t="s">
        <v>23</v>
      </c>
      <c r="D69" s="5">
        <v>6</v>
      </c>
      <c r="E69" s="1">
        <v>1</v>
      </c>
    </row>
    <row r="70" spans="1:5" ht="16" x14ac:dyDescent="0.2">
      <c r="A70" s="1" t="s">
        <v>132</v>
      </c>
      <c r="B70" s="1" t="s">
        <v>50</v>
      </c>
      <c r="C70" s="1" t="s">
        <v>23</v>
      </c>
      <c r="D70" s="5">
        <v>8</v>
      </c>
      <c r="E70" s="1">
        <v>1</v>
      </c>
    </row>
    <row r="71" spans="1:5" ht="16" x14ac:dyDescent="0.2">
      <c r="A71" s="1" t="s">
        <v>132</v>
      </c>
      <c r="B71" s="1" t="s">
        <v>58</v>
      </c>
      <c r="C71" s="1" t="s">
        <v>23</v>
      </c>
      <c r="D71" s="5">
        <v>8</v>
      </c>
      <c r="E71" s="1">
        <v>2</v>
      </c>
    </row>
    <row r="72" spans="1:5" ht="16" x14ac:dyDescent="0.2">
      <c r="A72" s="1" t="s">
        <v>132</v>
      </c>
      <c r="B72" s="1" t="s">
        <v>65</v>
      </c>
      <c r="C72" s="1" t="s">
        <v>23</v>
      </c>
      <c r="D72" s="5">
        <v>10</v>
      </c>
      <c r="E72" s="1">
        <v>1</v>
      </c>
    </row>
    <row r="73" spans="1:5" ht="16" x14ac:dyDescent="0.2">
      <c r="A73" s="1" t="s">
        <v>132</v>
      </c>
      <c r="B73" s="1" t="s">
        <v>68</v>
      </c>
      <c r="C73" s="1" t="s">
        <v>23</v>
      </c>
      <c r="D73" s="5">
        <v>30</v>
      </c>
      <c r="E73" s="1">
        <v>13</v>
      </c>
    </row>
    <row r="74" spans="1:5" ht="16" x14ac:dyDescent="0.2">
      <c r="A74" s="1" t="s">
        <v>65</v>
      </c>
      <c r="B74" s="1" t="s">
        <v>69</v>
      </c>
      <c r="C74" s="1" t="s">
        <v>23</v>
      </c>
      <c r="D74" s="5">
        <v>6</v>
      </c>
      <c r="E74" s="1">
        <v>1</v>
      </c>
    </row>
    <row r="75" spans="1:5" ht="16" x14ac:dyDescent="0.2">
      <c r="A75" s="1" t="s">
        <v>65</v>
      </c>
      <c r="B75" s="1" t="s">
        <v>69</v>
      </c>
      <c r="C75" s="1" t="s">
        <v>23</v>
      </c>
      <c r="D75" s="5">
        <v>6</v>
      </c>
      <c r="E75" s="1">
        <v>1</v>
      </c>
    </row>
    <row r="76" spans="1:5" ht="16" x14ac:dyDescent="0.2">
      <c r="A76" s="1" t="s">
        <v>65</v>
      </c>
      <c r="B76" s="1" t="s">
        <v>65</v>
      </c>
      <c r="C76" s="1" t="s">
        <v>23</v>
      </c>
      <c r="D76" s="5">
        <v>6</v>
      </c>
      <c r="E76" s="1">
        <v>1</v>
      </c>
    </row>
    <row r="77" spans="1:5" ht="16" x14ac:dyDescent="0.2">
      <c r="A77" s="1" t="s">
        <v>65</v>
      </c>
      <c r="B77" s="1" t="s">
        <v>65</v>
      </c>
      <c r="C77" s="1" t="s">
        <v>23</v>
      </c>
      <c r="D77" s="5">
        <v>6</v>
      </c>
      <c r="E77" s="1">
        <v>1</v>
      </c>
    </row>
    <row r="78" spans="1:5" ht="16" x14ac:dyDescent="0.2">
      <c r="A78" s="1" t="s">
        <v>71</v>
      </c>
      <c r="B78" s="1" t="s">
        <v>70</v>
      </c>
      <c r="C78" s="1" t="s">
        <v>23</v>
      </c>
      <c r="D78" s="5">
        <v>6</v>
      </c>
      <c r="E78" s="1">
        <v>1</v>
      </c>
    </row>
    <row r="79" spans="1:5" ht="16" x14ac:dyDescent="0.2">
      <c r="A79" s="1" t="s">
        <v>88</v>
      </c>
      <c r="B79" s="1" t="s">
        <v>24</v>
      </c>
      <c r="C79" s="1" t="s">
        <v>23</v>
      </c>
      <c r="D79" s="5">
        <v>2</v>
      </c>
      <c r="E79" s="1">
        <v>0</v>
      </c>
    </row>
    <row r="80" spans="1:5" ht="16" x14ac:dyDescent="0.2">
      <c r="A80" s="1" t="s">
        <v>88</v>
      </c>
      <c r="B80" s="1" t="s">
        <v>24</v>
      </c>
      <c r="C80" s="1" t="s">
        <v>23</v>
      </c>
      <c r="D80" s="5">
        <v>1</v>
      </c>
      <c r="E80" s="1">
        <v>1</v>
      </c>
    </row>
    <row r="81" spans="1:5" ht="16" x14ac:dyDescent="0.2">
      <c r="A81" s="1" t="s">
        <v>88</v>
      </c>
      <c r="B81" s="1" t="s">
        <v>24</v>
      </c>
      <c r="C81" s="1" t="s">
        <v>23</v>
      </c>
      <c r="D81" s="5">
        <v>2</v>
      </c>
      <c r="E81" s="1">
        <v>12</v>
      </c>
    </row>
    <row r="82" spans="1:5" ht="16" x14ac:dyDescent="0.2">
      <c r="A82" s="1" t="s">
        <v>88</v>
      </c>
      <c r="B82" s="1" t="s">
        <v>24</v>
      </c>
      <c r="C82" s="1" t="s">
        <v>23</v>
      </c>
      <c r="D82" s="5">
        <v>18</v>
      </c>
      <c r="E82" s="1">
        <v>9</v>
      </c>
    </row>
    <row r="83" spans="1:5" ht="16" x14ac:dyDescent="0.2">
      <c r="A83" s="1" t="s">
        <v>88</v>
      </c>
      <c r="B83" s="1" t="s">
        <v>24</v>
      </c>
      <c r="C83" s="1" t="s">
        <v>23</v>
      </c>
      <c r="D83" s="5">
        <v>14</v>
      </c>
      <c r="E83" s="1">
        <v>3</v>
      </c>
    </row>
    <row r="84" spans="1:5" ht="16" x14ac:dyDescent="0.2">
      <c r="A84" s="1" t="s">
        <v>88</v>
      </c>
      <c r="B84" s="1" t="s">
        <v>24</v>
      </c>
      <c r="C84" s="1" t="s">
        <v>23</v>
      </c>
      <c r="D84" s="5">
        <v>2</v>
      </c>
      <c r="E84" s="1">
        <v>1.6</v>
      </c>
    </row>
    <row r="85" spans="1:5" ht="16" x14ac:dyDescent="0.2">
      <c r="A85" s="1" t="s">
        <v>88</v>
      </c>
      <c r="B85" s="1" t="s">
        <v>24</v>
      </c>
      <c r="C85" s="1" t="s">
        <v>23</v>
      </c>
      <c r="D85" s="5">
        <v>1</v>
      </c>
      <c r="E85" s="1">
        <v>8.6</v>
      </c>
    </row>
    <row r="86" spans="1:5" ht="16" x14ac:dyDescent="0.2">
      <c r="A86" s="1" t="s">
        <v>88</v>
      </c>
      <c r="B86" s="1" t="s">
        <v>24</v>
      </c>
      <c r="C86" s="1" t="s">
        <v>23</v>
      </c>
      <c r="D86" s="5">
        <v>1</v>
      </c>
      <c r="E86" s="1">
        <v>13</v>
      </c>
    </row>
    <row r="87" spans="1:5" ht="16" x14ac:dyDescent="0.2">
      <c r="A87" s="1" t="s">
        <v>88</v>
      </c>
      <c r="B87" s="1" t="s">
        <v>24</v>
      </c>
      <c r="C87" s="1" t="s">
        <v>23</v>
      </c>
      <c r="D87" s="5">
        <v>5</v>
      </c>
      <c r="E87" s="1">
        <v>9</v>
      </c>
    </row>
    <row r="88" spans="1:5" ht="16" x14ac:dyDescent="0.2">
      <c r="A88" s="1" t="s">
        <v>88</v>
      </c>
      <c r="B88" s="1" t="s">
        <v>73</v>
      </c>
      <c r="C88" s="1" t="s">
        <v>23</v>
      </c>
      <c r="D88" s="5">
        <v>2</v>
      </c>
      <c r="E88" s="1">
        <v>0.25</v>
      </c>
    </row>
    <row r="89" spans="1:5" ht="16" x14ac:dyDescent="0.2">
      <c r="A89" s="1" t="s">
        <v>25</v>
      </c>
      <c r="B89" s="1" t="s">
        <v>25</v>
      </c>
      <c r="C89" s="1" t="s">
        <v>23</v>
      </c>
      <c r="D89" s="5">
        <v>2</v>
      </c>
      <c r="E89" s="1">
        <v>4.5</v>
      </c>
    </row>
    <row r="90" spans="1:5" ht="16" x14ac:dyDescent="0.2">
      <c r="A90" s="1" t="s">
        <v>25</v>
      </c>
      <c r="B90" s="1" t="s">
        <v>25</v>
      </c>
      <c r="C90" s="1" t="s">
        <v>23</v>
      </c>
      <c r="D90" s="5">
        <v>2</v>
      </c>
      <c r="E90" s="1">
        <v>0</v>
      </c>
    </row>
    <row r="91" spans="1:5" ht="16" x14ac:dyDescent="0.2">
      <c r="A91" s="1" t="s">
        <v>25</v>
      </c>
      <c r="B91" s="1" t="s">
        <v>25</v>
      </c>
      <c r="C91" s="1" t="s">
        <v>23</v>
      </c>
      <c r="D91" s="5">
        <v>10</v>
      </c>
      <c r="E91" s="1">
        <v>1</v>
      </c>
    </row>
    <row r="92" spans="1:5" ht="16" x14ac:dyDescent="0.2">
      <c r="A92" s="1" t="s">
        <v>25</v>
      </c>
      <c r="B92" s="1" t="s">
        <v>25</v>
      </c>
      <c r="C92" s="1" t="s">
        <v>23</v>
      </c>
      <c r="D92" s="5">
        <v>2</v>
      </c>
      <c r="E92" s="1">
        <v>2</v>
      </c>
    </row>
    <row r="93" spans="1:5" ht="16" x14ac:dyDescent="0.2">
      <c r="A93" s="1" t="s">
        <v>25</v>
      </c>
      <c r="B93" s="1" t="s">
        <v>25</v>
      </c>
      <c r="C93" s="1" t="s">
        <v>23</v>
      </c>
      <c r="D93" s="5">
        <v>2</v>
      </c>
      <c r="E93" s="1">
        <v>2</v>
      </c>
    </row>
    <row r="94" spans="1:5" ht="16" x14ac:dyDescent="0.2">
      <c r="A94" s="1" t="s">
        <v>25</v>
      </c>
      <c r="B94" s="1" t="s">
        <v>25</v>
      </c>
      <c r="C94" s="1" t="s">
        <v>23</v>
      </c>
      <c r="D94" s="5">
        <v>14</v>
      </c>
      <c r="E94" s="1">
        <v>3</v>
      </c>
    </row>
    <row r="95" spans="1:5" ht="16" x14ac:dyDescent="0.2">
      <c r="A95" s="1" t="s">
        <v>74</v>
      </c>
      <c r="B95" s="1" t="s">
        <v>75</v>
      </c>
      <c r="C95" s="1" t="s">
        <v>23</v>
      </c>
      <c r="D95" s="5">
        <v>6</v>
      </c>
      <c r="E95" s="1">
        <v>1</v>
      </c>
    </row>
    <row r="96" spans="1:5" ht="16" x14ac:dyDescent="0.2">
      <c r="A96" s="1" t="s">
        <v>76</v>
      </c>
      <c r="B96" s="1" t="s">
        <v>77</v>
      </c>
      <c r="C96" s="1" t="s">
        <v>23</v>
      </c>
      <c r="D96" s="5">
        <v>1</v>
      </c>
      <c r="E96" s="1">
        <v>0</v>
      </c>
    </row>
    <row r="97" spans="1:5" ht="16" x14ac:dyDescent="0.2">
      <c r="A97" s="1" t="s">
        <v>26</v>
      </c>
      <c r="B97" s="1" t="s">
        <v>22</v>
      </c>
      <c r="C97" s="1" t="s">
        <v>23</v>
      </c>
      <c r="D97" s="5">
        <v>2</v>
      </c>
      <c r="E97" s="1">
        <v>0</v>
      </c>
    </row>
    <row r="98" spans="1:5" ht="16" x14ac:dyDescent="0.2">
      <c r="A98" s="1" t="s">
        <v>78</v>
      </c>
      <c r="B98" s="1" t="s">
        <v>67</v>
      </c>
      <c r="C98" s="1" t="s">
        <v>23</v>
      </c>
      <c r="D98" s="5">
        <v>6</v>
      </c>
      <c r="E98" s="1">
        <v>1</v>
      </c>
    </row>
    <row r="99" spans="1:5" ht="16" x14ac:dyDescent="0.2">
      <c r="A99" s="1" t="s">
        <v>78</v>
      </c>
      <c r="B99" s="1" t="s">
        <v>57</v>
      </c>
      <c r="C99" s="1" t="s">
        <v>23</v>
      </c>
      <c r="D99" s="5">
        <v>2</v>
      </c>
      <c r="E99" s="1">
        <v>0.5</v>
      </c>
    </row>
    <row r="100" spans="1:5" ht="16" x14ac:dyDescent="0.2">
      <c r="A100" s="1" t="s">
        <v>78</v>
      </c>
      <c r="B100" s="1" t="s">
        <v>57</v>
      </c>
      <c r="C100" s="1" t="s">
        <v>23</v>
      </c>
      <c r="D100" s="5">
        <v>12</v>
      </c>
      <c r="E100" s="1">
        <v>2</v>
      </c>
    </row>
    <row r="101" spans="1:5" ht="16" x14ac:dyDescent="0.2">
      <c r="A101" s="1" t="s">
        <v>78</v>
      </c>
      <c r="B101" s="1" t="s">
        <v>57</v>
      </c>
      <c r="C101" s="1" t="s">
        <v>23</v>
      </c>
      <c r="D101" s="5">
        <v>12</v>
      </c>
      <c r="E101" s="1">
        <v>3</v>
      </c>
    </row>
    <row r="102" spans="1:5" ht="16" x14ac:dyDescent="0.2">
      <c r="A102" s="1" t="s">
        <v>27</v>
      </c>
      <c r="B102" s="1" t="s">
        <v>79</v>
      </c>
      <c r="C102" s="1" t="s">
        <v>23</v>
      </c>
      <c r="D102" s="5">
        <v>12</v>
      </c>
      <c r="E102" s="1">
        <v>1</v>
      </c>
    </row>
    <row r="103" spans="1:5" ht="16" x14ac:dyDescent="0.2">
      <c r="A103" s="1" t="s">
        <v>27</v>
      </c>
      <c r="B103" s="1" t="s">
        <v>79</v>
      </c>
      <c r="C103" s="1" t="s">
        <v>23</v>
      </c>
      <c r="D103" s="5">
        <v>12</v>
      </c>
      <c r="E103" s="1">
        <v>1</v>
      </c>
    </row>
    <row r="104" spans="1:5" ht="16" x14ac:dyDescent="0.2">
      <c r="A104" s="1" t="s">
        <v>27</v>
      </c>
      <c r="B104" s="1" t="s">
        <v>27</v>
      </c>
      <c r="C104" s="1" t="s">
        <v>23</v>
      </c>
      <c r="D104" s="5">
        <v>1</v>
      </c>
      <c r="E104" s="1">
        <v>0</v>
      </c>
    </row>
    <row r="105" spans="1:5" ht="16" x14ac:dyDescent="0.2">
      <c r="A105" s="1" t="s">
        <v>27</v>
      </c>
      <c r="B105" s="1" t="s">
        <v>27</v>
      </c>
      <c r="C105" s="1" t="s">
        <v>23</v>
      </c>
      <c r="D105" s="5">
        <v>6</v>
      </c>
      <c r="E105" s="1">
        <v>1</v>
      </c>
    </row>
    <row r="106" spans="1:5" ht="32" x14ac:dyDescent="0.2">
      <c r="A106" s="1" t="s">
        <v>29</v>
      </c>
      <c r="B106" s="1" t="s">
        <v>80</v>
      </c>
      <c r="C106" s="1" t="s">
        <v>23</v>
      </c>
      <c r="D106" s="5">
        <v>2</v>
      </c>
      <c r="E106" s="1">
        <v>0.25</v>
      </c>
    </row>
    <row r="107" spans="1:5" ht="16" x14ac:dyDescent="0.2">
      <c r="A107" s="1" t="s">
        <v>29</v>
      </c>
      <c r="B107" s="1" t="s">
        <v>28</v>
      </c>
      <c r="C107" s="1" t="s">
        <v>23</v>
      </c>
      <c r="D107" s="5">
        <v>2</v>
      </c>
      <c r="E107" s="1">
        <v>2.9</v>
      </c>
    </row>
    <row r="108" spans="1:5" ht="32" x14ac:dyDescent="0.2">
      <c r="A108" s="1" t="s">
        <v>29</v>
      </c>
      <c r="B108" s="1" t="s">
        <v>81</v>
      </c>
      <c r="C108" s="1" t="s">
        <v>23</v>
      </c>
      <c r="D108" s="5">
        <v>16</v>
      </c>
      <c r="E108" s="1">
        <v>5</v>
      </c>
    </row>
    <row r="109" spans="1:5" ht="16" x14ac:dyDescent="0.2">
      <c r="A109" s="1" t="s">
        <v>29</v>
      </c>
      <c r="B109" s="1" t="s">
        <v>31</v>
      </c>
      <c r="C109" s="1" t="s">
        <v>23</v>
      </c>
      <c r="D109" s="5">
        <v>2</v>
      </c>
      <c r="E109" s="1">
        <v>1.3</v>
      </c>
    </row>
    <row r="110" spans="1:5" ht="16" x14ac:dyDescent="0.2">
      <c r="A110" s="1" t="s">
        <v>29</v>
      </c>
      <c r="B110" s="1" t="s">
        <v>22</v>
      </c>
      <c r="C110" s="1" t="s">
        <v>23</v>
      </c>
      <c r="D110" s="5">
        <v>6</v>
      </c>
      <c r="E110" s="1">
        <v>1</v>
      </c>
    </row>
    <row r="111" spans="1:5" ht="16" x14ac:dyDescent="0.2">
      <c r="A111" s="1" t="s">
        <v>29</v>
      </c>
      <c r="B111" s="1" t="s">
        <v>30</v>
      </c>
      <c r="C111" s="1" t="s">
        <v>23</v>
      </c>
      <c r="D111" s="5">
        <v>8</v>
      </c>
      <c r="E111" s="1">
        <v>1</v>
      </c>
    </row>
    <row r="112" spans="1:5" ht="16" x14ac:dyDescent="0.2">
      <c r="A112" s="1" t="s">
        <v>29</v>
      </c>
      <c r="B112" s="1" t="s">
        <v>45</v>
      </c>
      <c r="C112" s="1" t="s">
        <v>23</v>
      </c>
      <c r="D112" s="5">
        <v>6</v>
      </c>
      <c r="E112" s="1">
        <v>1</v>
      </c>
    </row>
    <row r="113" spans="1:5" ht="16" x14ac:dyDescent="0.2">
      <c r="A113" s="1" t="s">
        <v>29</v>
      </c>
      <c r="B113" s="1" t="s">
        <v>36</v>
      </c>
      <c r="C113" s="1" t="s">
        <v>23</v>
      </c>
      <c r="D113" s="5">
        <v>6</v>
      </c>
      <c r="E113" s="1">
        <v>1</v>
      </c>
    </row>
    <row r="114" spans="1:5" ht="16" x14ac:dyDescent="0.2">
      <c r="A114" s="1" t="s">
        <v>29</v>
      </c>
      <c r="B114" s="1" t="s">
        <v>48</v>
      </c>
      <c r="C114" s="1" t="s">
        <v>23</v>
      </c>
      <c r="D114" s="5">
        <v>6</v>
      </c>
      <c r="E114" s="1">
        <v>1</v>
      </c>
    </row>
    <row r="115" spans="1:5" ht="16" x14ac:dyDescent="0.2">
      <c r="A115" s="1" t="s">
        <v>29</v>
      </c>
      <c r="B115" s="1" t="s">
        <v>49</v>
      </c>
      <c r="C115" s="1" t="s">
        <v>23</v>
      </c>
      <c r="D115" s="5">
        <v>6</v>
      </c>
      <c r="E115" s="1">
        <v>1</v>
      </c>
    </row>
    <row r="116" spans="1:5" ht="16" x14ac:dyDescent="0.2">
      <c r="A116" s="1" t="s">
        <v>29</v>
      </c>
      <c r="B116" s="1" t="s">
        <v>28</v>
      </c>
      <c r="C116" s="1" t="s">
        <v>23</v>
      </c>
      <c r="D116" s="5">
        <v>6</v>
      </c>
      <c r="E116" s="1">
        <v>1</v>
      </c>
    </row>
    <row r="117" spans="1:5" ht="16" x14ac:dyDescent="0.2">
      <c r="A117" s="1" t="s">
        <v>29</v>
      </c>
      <c r="B117" s="1" t="s">
        <v>37</v>
      </c>
      <c r="C117" s="1" t="s">
        <v>23</v>
      </c>
      <c r="D117" s="5">
        <v>8</v>
      </c>
      <c r="E117" s="1">
        <v>1</v>
      </c>
    </row>
    <row r="118" spans="1:5" ht="16" x14ac:dyDescent="0.2">
      <c r="A118" s="1" t="s">
        <v>29</v>
      </c>
      <c r="B118" s="1" t="s">
        <v>52</v>
      </c>
      <c r="C118" s="1" t="s">
        <v>23</v>
      </c>
      <c r="D118" s="5">
        <v>4</v>
      </c>
      <c r="E118" s="1">
        <v>1</v>
      </c>
    </row>
    <row r="119" spans="1:5" ht="16" x14ac:dyDescent="0.2">
      <c r="A119" s="1" t="s">
        <v>29</v>
      </c>
      <c r="B119" s="1" t="s">
        <v>31</v>
      </c>
      <c r="C119" s="1" t="s">
        <v>23</v>
      </c>
      <c r="D119" s="5">
        <v>6</v>
      </c>
      <c r="E119" s="1">
        <v>1</v>
      </c>
    </row>
    <row r="120" spans="1:5" ht="16" x14ac:dyDescent="0.2">
      <c r="A120" s="1" t="s">
        <v>29</v>
      </c>
      <c r="B120" s="1" t="s">
        <v>65</v>
      </c>
      <c r="C120" s="1" t="s">
        <v>23</v>
      </c>
      <c r="D120" s="5">
        <v>6</v>
      </c>
      <c r="E120" s="1">
        <v>1</v>
      </c>
    </row>
    <row r="121" spans="1:5" ht="16" x14ac:dyDescent="0.2">
      <c r="A121" s="1" t="s">
        <v>29</v>
      </c>
      <c r="B121" s="1" t="s">
        <v>55</v>
      </c>
      <c r="C121" s="1" t="s">
        <v>23</v>
      </c>
      <c r="D121" s="5">
        <v>4</v>
      </c>
      <c r="E121" s="1">
        <v>1</v>
      </c>
    </row>
    <row r="122" spans="1:5" ht="16" x14ac:dyDescent="0.2">
      <c r="A122" s="1" t="s">
        <v>29</v>
      </c>
      <c r="B122" s="1" t="s">
        <v>56</v>
      </c>
      <c r="C122" s="1" t="s">
        <v>23</v>
      </c>
      <c r="D122" s="5">
        <v>4</v>
      </c>
      <c r="E122" s="1">
        <v>1</v>
      </c>
    </row>
    <row r="123" spans="1:5" ht="16" x14ac:dyDescent="0.2">
      <c r="A123" s="1" t="s">
        <v>29</v>
      </c>
      <c r="B123" s="1" t="s">
        <v>25</v>
      </c>
      <c r="C123" s="1" t="s">
        <v>23</v>
      </c>
      <c r="D123" s="5">
        <v>6</v>
      </c>
      <c r="E123" s="1">
        <v>1</v>
      </c>
    </row>
    <row r="124" spans="1:5" ht="16" x14ac:dyDescent="0.2">
      <c r="A124" s="1" t="s">
        <v>29</v>
      </c>
      <c r="B124" s="1" t="s">
        <v>46</v>
      </c>
      <c r="C124" s="1" t="s">
        <v>23</v>
      </c>
      <c r="D124" s="5">
        <v>10</v>
      </c>
      <c r="E124" s="1">
        <v>1</v>
      </c>
    </row>
    <row r="125" spans="1:5" ht="16" x14ac:dyDescent="0.2">
      <c r="A125" s="1" t="s">
        <v>29</v>
      </c>
      <c r="B125" s="1" t="s">
        <v>47</v>
      </c>
      <c r="C125" s="1" t="s">
        <v>23</v>
      </c>
      <c r="D125" s="5">
        <v>8</v>
      </c>
      <c r="E125" s="1">
        <v>1</v>
      </c>
    </row>
    <row r="126" spans="1:5" ht="16" x14ac:dyDescent="0.2">
      <c r="A126" s="1" t="s">
        <v>29</v>
      </c>
      <c r="B126" s="1" t="s">
        <v>50</v>
      </c>
      <c r="C126" s="1" t="s">
        <v>23</v>
      </c>
      <c r="D126" s="5">
        <v>8</v>
      </c>
      <c r="E126" s="1">
        <v>1</v>
      </c>
    </row>
    <row r="127" spans="1:5" ht="16" x14ac:dyDescent="0.2">
      <c r="A127" s="1" t="s">
        <v>29</v>
      </c>
      <c r="B127" s="1" t="s">
        <v>28</v>
      </c>
      <c r="C127" s="1" t="s">
        <v>23</v>
      </c>
      <c r="D127" s="5">
        <v>6</v>
      </c>
      <c r="E127" s="1">
        <v>1</v>
      </c>
    </row>
    <row r="128" spans="1:5" ht="16" x14ac:dyDescent="0.2">
      <c r="A128" s="1" t="s">
        <v>29</v>
      </c>
      <c r="B128" s="1" t="s">
        <v>37</v>
      </c>
      <c r="C128" s="1" t="s">
        <v>23</v>
      </c>
      <c r="D128" s="5">
        <v>6</v>
      </c>
      <c r="E128" s="1">
        <v>1</v>
      </c>
    </row>
    <row r="129" spans="1:5" ht="16" x14ac:dyDescent="0.2">
      <c r="A129" s="1" t="s">
        <v>29</v>
      </c>
      <c r="B129" s="1" t="s">
        <v>31</v>
      </c>
      <c r="C129" s="1" t="s">
        <v>23</v>
      </c>
      <c r="D129" s="5">
        <v>6</v>
      </c>
      <c r="E129" s="1">
        <v>1</v>
      </c>
    </row>
    <row r="130" spans="1:5" ht="16" x14ac:dyDescent="0.2">
      <c r="A130" s="1" t="s">
        <v>29</v>
      </c>
      <c r="B130" s="1" t="s">
        <v>29</v>
      </c>
      <c r="C130" s="1" t="s">
        <v>23</v>
      </c>
      <c r="D130" s="5">
        <v>8</v>
      </c>
      <c r="E130" s="1">
        <v>1.1000000000000001</v>
      </c>
    </row>
    <row r="131" spans="1:5" ht="16" x14ac:dyDescent="0.2">
      <c r="A131" s="1" t="s">
        <v>29</v>
      </c>
      <c r="B131" s="1" t="s">
        <v>29</v>
      </c>
      <c r="C131" s="1" t="s">
        <v>23</v>
      </c>
      <c r="D131" s="5">
        <v>2</v>
      </c>
      <c r="E131" s="1">
        <v>10</v>
      </c>
    </row>
    <row r="132" spans="1:5" ht="16" x14ac:dyDescent="0.2">
      <c r="A132" s="1" t="s">
        <v>29</v>
      </c>
      <c r="B132" s="1" t="s">
        <v>29</v>
      </c>
      <c r="C132" s="1" t="s">
        <v>23</v>
      </c>
      <c r="D132" s="5">
        <v>47</v>
      </c>
      <c r="E132" s="1">
        <v>0.5</v>
      </c>
    </row>
    <row r="133" spans="1:5" ht="16" x14ac:dyDescent="0.2">
      <c r="A133" s="1" t="s">
        <v>29</v>
      </c>
      <c r="B133" s="1" t="s">
        <v>31</v>
      </c>
      <c r="C133" s="1" t="s">
        <v>23</v>
      </c>
      <c r="D133" s="5">
        <v>2</v>
      </c>
      <c r="E133" s="1">
        <v>11.5</v>
      </c>
    </row>
    <row r="134" spans="1:5" ht="16" x14ac:dyDescent="0.2">
      <c r="A134" s="1" t="s">
        <v>29</v>
      </c>
      <c r="B134" s="1" t="s">
        <v>29</v>
      </c>
      <c r="C134" s="1" t="s">
        <v>23</v>
      </c>
      <c r="D134" s="5">
        <v>2</v>
      </c>
      <c r="E134" s="1">
        <v>3</v>
      </c>
    </row>
    <row r="135" spans="1:5" ht="16" x14ac:dyDescent="0.2">
      <c r="A135" s="1" t="s">
        <v>29</v>
      </c>
      <c r="B135" s="1" t="s">
        <v>29</v>
      </c>
      <c r="C135" s="1" t="s">
        <v>23</v>
      </c>
      <c r="D135" s="5">
        <v>2</v>
      </c>
      <c r="E135" s="1">
        <v>7.5</v>
      </c>
    </row>
    <row r="136" spans="1:5" ht="16" x14ac:dyDescent="0.2">
      <c r="A136" s="1" t="s">
        <v>29</v>
      </c>
      <c r="B136" s="1" t="s">
        <v>29</v>
      </c>
      <c r="C136" s="1" t="s">
        <v>23</v>
      </c>
      <c r="D136" s="5">
        <v>2</v>
      </c>
      <c r="E136" s="1">
        <v>10.75</v>
      </c>
    </row>
    <row r="137" spans="1:5" ht="16" x14ac:dyDescent="0.2">
      <c r="A137" s="1" t="s">
        <v>29</v>
      </c>
      <c r="B137" s="1" t="s">
        <v>29</v>
      </c>
      <c r="C137" s="1" t="s">
        <v>23</v>
      </c>
      <c r="D137" s="5">
        <v>2</v>
      </c>
      <c r="E137" s="1">
        <v>20</v>
      </c>
    </row>
    <row r="138" spans="1:5" ht="16" x14ac:dyDescent="0.2">
      <c r="A138" s="1" t="s">
        <v>30</v>
      </c>
      <c r="B138" s="1" t="s">
        <v>82</v>
      </c>
      <c r="C138" s="1" t="s">
        <v>23</v>
      </c>
      <c r="D138" s="5">
        <v>6</v>
      </c>
      <c r="E138" s="1">
        <v>1</v>
      </c>
    </row>
    <row r="139" spans="1:5" ht="16" x14ac:dyDescent="0.2">
      <c r="A139" s="1" t="s">
        <v>30</v>
      </c>
      <c r="B139" s="1" t="s">
        <v>82</v>
      </c>
      <c r="C139" s="1" t="s">
        <v>23</v>
      </c>
      <c r="D139" s="5">
        <v>1</v>
      </c>
      <c r="E139" s="1">
        <v>0</v>
      </c>
    </row>
    <row r="140" spans="1:5" ht="16" x14ac:dyDescent="0.2">
      <c r="A140" s="1" t="s">
        <v>30</v>
      </c>
      <c r="B140" s="1" t="s">
        <v>82</v>
      </c>
      <c r="C140" s="1" t="s">
        <v>23</v>
      </c>
      <c r="D140" s="5">
        <v>2</v>
      </c>
      <c r="E140" s="1">
        <v>2</v>
      </c>
    </row>
    <row r="141" spans="1:5" ht="16" x14ac:dyDescent="0.2">
      <c r="A141" s="1" t="s">
        <v>30</v>
      </c>
      <c r="B141" s="1" t="s">
        <v>83</v>
      </c>
      <c r="C141" s="1" t="s">
        <v>23</v>
      </c>
      <c r="D141" s="5">
        <v>1</v>
      </c>
      <c r="E141" s="1">
        <v>1</v>
      </c>
    </row>
    <row r="142" spans="1:5" ht="16" x14ac:dyDescent="0.2">
      <c r="A142" s="1" t="s">
        <v>30</v>
      </c>
      <c r="B142" s="1" t="s">
        <v>84</v>
      </c>
      <c r="C142" s="1" t="s">
        <v>23</v>
      </c>
      <c r="D142" s="5">
        <v>8</v>
      </c>
      <c r="E142" s="1">
        <v>1</v>
      </c>
    </row>
    <row r="143" spans="1:5" ht="16" x14ac:dyDescent="0.2">
      <c r="A143" s="1" t="s">
        <v>30</v>
      </c>
      <c r="B143" s="1" t="s">
        <v>30</v>
      </c>
      <c r="C143" s="1" t="s">
        <v>23</v>
      </c>
      <c r="D143" s="5">
        <v>43</v>
      </c>
      <c r="E143" s="1">
        <v>30</v>
      </c>
    </row>
    <row r="144" spans="1:5" ht="16" x14ac:dyDescent="0.2">
      <c r="A144" s="1" t="s">
        <v>30</v>
      </c>
      <c r="B144" s="1" t="s">
        <v>30</v>
      </c>
      <c r="C144" s="1" t="s">
        <v>23</v>
      </c>
      <c r="D144" s="5">
        <v>45</v>
      </c>
      <c r="E144" s="1">
        <v>19</v>
      </c>
    </row>
    <row r="145" spans="1:5" ht="16" x14ac:dyDescent="0.2">
      <c r="A145" s="1" t="s">
        <v>30</v>
      </c>
      <c r="B145" s="1" t="s">
        <v>30</v>
      </c>
      <c r="C145" s="1" t="s">
        <v>23</v>
      </c>
      <c r="D145" s="5">
        <v>1</v>
      </c>
      <c r="E145" s="1">
        <v>1</v>
      </c>
    </row>
    <row r="146" spans="1:5" ht="16" x14ac:dyDescent="0.2">
      <c r="A146" s="1" t="s">
        <v>30</v>
      </c>
      <c r="B146" s="1" t="s">
        <v>30</v>
      </c>
      <c r="C146" s="1" t="s">
        <v>23</v>
      </c>
      <c r="D146" s="5">
        <v>12</v>
      </c>
      <c r="E146" s="1">
        <v>1</v>
      </c>
    </row>
    <row r="147" spans="1:5" ht="16" x14ac:dyDescent="0.2">
      <c r="A147" s="1" t="s">
        <v>30</v>
      </c>
      <c r="B147" s="1" t="s">
        <v>30</v>
      </c>
      <c r="C147" s="1" t="s">
        <v>23</v>
      </c>
      <c r="D147" s="5">
        <v>1</v>
      </c>
      <c r="E147" s="1">
        <v>17</v>
      </c>
    </row>
    <row r="148" spans="1:5" ht="16" x14ac:dyDescent="0.2">
      <c r="A148" s="1" t="s">
        <v>30</v>
      </c>
      <c r="B148" s="1" t="s">
        <v>30</v>
      </c>
      <c r="C148" s="1" t="s">
        <v>23</v>
      </c>
      <c r="D148" s="5">
        <v>5</v>
      </c>
      <c r="E148" s="1">
        <v>18</v>
      </c>
    </row>
    <row r="149" spans="1:5" ht="16" x14ac:dyDescent="0.2">
      <c r="A149" s="1" t="s">
        <v>30</v>
      </c>
      <c r="B149" s="1" t="s">
        <v>30</v>
      </c>
      <c r="C149" s="1" t="s">
        <v>23</v>
      </c>
      <c r="D149" s="5">
        <v>1</v>
      </c>
      <c r="E149" s="1">
        <v>10</v>
      </c>
    </row>
    <row r="150" spans="1:5" ht="16" x14ac:dyDescent="0.2">
      <c r="A150" s="1" t="s">
        <v>30</v>
      </c>
      <c r="B150" s="1" t="s">
        <v>30</v>
      </c>
      <c r="C150" s="1" t="s">
        <v>23</v>
      </c>
      <c r="D150" s="5">
        <v>6</v>
      </c>
      <c r="E150" s="1">
        <v>5</v>
      </c>
    </row>
    <row r="151" spans="1:5" ht="16" x14ac:dyDescent="0.2">
      <c r="A151" s="1" t="s">
        <v>30</v>
      </c>
      <c r="B151" s="1" t="s">
        <v>30</v>
      </c>
      <c r="C151" s="1" t="s">
        <v>23</v>
      </c>
      <c r="D151" s="5">
        <v>2</v>
      </c>
      <c r="E151" s="1">
        <v>35</v>
      </c>
    </row>
    <row r="152" spans="1:5" ht="16" x14ac:dyDescent="0.2">
      <c r="A152" s="1" t="s">
        <v>30</v>
      </c>
      <c r="B152" s="1" t="s">
        <v>30</v>
      </c>
      <c r="C152" s="1" t="s">
        <v>23</v>
      </c>
      <c r="D152" s="5">
        <v>4</v>
      </c>
      <c r="E152" s="1">
        <v>45</v>
      </c>
    </row>
    <row r="153" spans="1:5" ht="16" x14ac:dyDescent="0.2">
      <c r="A153" s="1" t="s">
        <v>30</v>
      </c>
      <c r="B153" s="1" t="s">
        <v>30</v>
      </c>
      <c r="C153" s="1" t="s">
        <v>23</v>
      </c>
      <c r="D153" s="5">
        <v>12</v>
      </c>
      <c r="E153" s="1">
        <v>3</v>
      </c>
    </row>
    <row r="154" spans="1:5" ht="16" x14ac:dyDescent="0.2">
      <c r="A154" s="1" t="s">
        <v>30</v>
      </c>
      <c r="B154" s="1" t="s">
        <v>30</v>
      </c>
      <c r="C154" s="1" t="s">
        <v>23</v>
      </c>
      <c r="D154" s="5">
        <v>2</v>
      </c>
      <c r="E154" s="1">
        <v>19</v>
      </c>
    </row>
    <row r="155" spans="1:5" ht="16" x14ac:dyDescent="0.2">
      <c r="A155" s="1" t="s">
        <v>30</v>
      </c>
      <c r="B155" s="1" t="s">
        <v>30</v>
      </c>
      <c r="C155" s="1" t="s">
        <v>23</v>
      </c>
      <c r="D155" s="5">
        <v>2</v>
      </c>
      <c r="E155" s="1">
        <v>7</v>
      </c>
    </row>
    <row r="156" spans="1:5" ht="16" x14ac:dyDescent="0.2">
      <c r="A156" s="1" t="s">
        <v>30</v>
      </c>
      <c r="B156" s="1" t="s">
        <v>30</v>
      </c>
      <c r="C156" s="1" t="s">
        <v>23</v>
      </c>
      <c r="D156" s="5">
        <v>15</v>
      </c>
      <c r="E156" s="1">
        <v>35</v>
      </c>
    </row>
    <row r="157" spans="1:5" ht="16" x14ac:dyDescent="0.2">
      <c r="A157" s="1" t="s">
        <v>31</v>
      </c>
      <c r="B157" s="1" t="s">
        <v>31</v>
      </c>
      <c r="C157" s="1" t="s">
        <v>23</v>
      </c>
      <c r="D157" s="5">
        <v>1</v>
      </c>
      <c r="E157" s="1">
        <v>1</v>
      </c>
    </row>
    <row r="158" spans="1:5" ht="16" x14ac:dyDescent="0.2">
      <c r="A158" s="1" t="s">
        <v>31</v>
      </c>
      <c r="B158" s="1" t="s">
        <v>31</v>
      </c>
      <c r="C158" s="1" t="s">
        <v>23</v>
      </c>
      <c r="D158" s="5">
        <v>2</v>
      </c>
      <c r="E158" s="1">
        <v>13</v>
      </c>
    </row>
    <row r="159" spans="1:5" ht="16" x14ac:dyDescent="0.2">
      <c r="A159" s="1" t="s">
        <v>31</v>
      </c>
      <c r="B159" s="1" t="s">
        <v>31</v>
      </c>
      <c r="C159" s="1" t="s">
        <v>23</v>
      </c>
      <c r="D159" s="5">
        <v>19</v>
      </c>
      <c r="E159" s="1">
        <v>18</v>
      </c>
    </row>
    <row r="160" spans="1:5" ht="16" x14ac:dyDescent="0.2">
      <c r="A160" s="1" t="s">
        <v>31</v>
      </c>
      <c r="B160" s="1" t="s">
        <v>31</v>
      </c>
      <c r="C160" s="1" t="s">
        <v>23</v>
      </c>
      <c r="D160" s="5">
        <v>2</v>
      </c>
      <c r="E160" s="1">
        <v>7</v>
      </c>
    </row>
    <row r="161" spans="1:5" ht="16" x14ac:dyDescent="0.2">
      <c r="A161" s="1" t="s">
        <v>31</v>
      </c>
      <c r="B161" s="1" t="s">
        <v>31</v>
      </c>
      <c r="C161" s="1" t="s">
        <v>23</v>
      </c>
      <c r="D161" s="5">
        <v>19</v>
      </c>
      <c r="E161" s="1">
        <v>8</v>
      </c>
    </row>
    <row r="162" spans="1:5" ht="16" x14ac:dyDescent="0.2">
      <c r="A162" s="1" t="s">
        <v>31</v>
      </c>
      <c r="B162" s="1" t="s">
        <v>31</v>
      </c>
      <c r="C162" s="1" t="s">
        <v>23</v>
      </c>
      <c r="D162" s="5">
        <v>2</v>
      </c>
      <c r="E162" s="1">
        <v>6</v>
      </c>
    </row>
    <row r="163" spans="1:5" ht="16" x14ac:dyDescent="0.2">
      <c r="A163" s="1" t="s">
        <v>31</v>
      </c>
      <c r="B163" s="1" t="s">
        <v>31</v>
      </c>
      <c r="C163" s="1" t="s">
        <v>23</v>
      </c>
      <c r="D163" s="5">
        <v>2</v>
      </c>
      <c r="E163" s="1">
        <v>18</v>
      </c>
    </row>
    <row r="164" spans="1:5" ht="16" x14ac:dyDescent="0.2">
      <c r="A164" s="1" t="s">
        <v>31</v>
      </c>
      <c r="B164" s="1" t="s">
        <v>31</v>
      </c>
      <c r="C164" s="1" t="s">
        <v>23</v>
      </c>
      <c r="D164" s="5">
        <v>1</v>
      </c>
      <c r="E164" s="1">
        <v>0</v>
      </c>
    </row>
    <row r="165" spans="1:5" ht="16" x14ac:dyDescent="0.2">
      <c r="A165" s="1" t="s">
        <v>31</v>
      </c>
      <c r="B165" s="1" t="s">
        <v>31</v>
      </c>
      <c r="C165" s="1" t="s">
        <v>85</v>
      </c>
      <c r="D165" s="5">
        <v>1</v>
      </c>
      <c r="E165" s="1">
        <v>0</v>
      </c>
    </row>
    <row r="166" spans="1:5" ht="16" x14ac:dyDescent="0.2">
      <c r="A166" s="1" t="s">
        <v>31</v>
      </c>
      <c r="B166" s="1" t="s">
        <v>31</v>
      </c>
      <c r="C166" s="1" t="s">
        <v>23</v>
      </c>
      <c r="D166" s="5">
        <v>80</v>
      </c>
      <c r="E166" s="1">
        <v>22</v>
      </c>
    </row>
    <row r="167" spans="1:5" ht="16" x14ac:dyDescent="0.2">
      <c r="A167" s="1" t="s">
        <v>86</v>
      </c>
      <c r="B167" s="1" t="s">
        <v>49</v>
      </c>
      <c r="C167" s="1" t="s">
        <v>23</v>
      </c>
      <c r="D167" s="5">
        <v>1</v>
      </c>
      <c r="E167" s="1">
        <v>14</v>
      </c>
    </row>
    <row r="168" spans="1:5" ht="16" x14ac:dyDescent="0.2">
      <c r="A168" s="1" t="s">
        <v>32</v>
      </c>
      <c r="B168" s="1" t="s">
        <v>32</v>
      </c>
      <c r="C168" s="1" t="s">
        <v>23</v>
      </c>
      <c r="D168" s="5">
        <v>1</v>
      </c>
      <c r="E168" s="1">
        <v>0</v>
      </c>
    </row>
    <row r="169" spans="1:5" ht="16" x14ac:dyDescent="0.2">
      <c r="A169" s="1" t="s">
        <v>32</v>
      </c>
      <c r="B169" s="1" t="s">
        <v>32</v>
      </c>
      <c r="C169" s="1" t="s">
        <v>23</v>
      </c>
      <c r="D169" s="5">
        <v>4</v>
      </c>
      <c r="E169" s="1">
        <v>1</v>
      </c>
    </row>
    <row r="170" spans="1:5" ht="16" x14ac:dyDescent="0.2">
      <c r="A170" s="1" t="s">
        <v>32</v>
      </c>
      <c r="B170" s="1" t="s">
        <v>32</v>
      </c>
      <c r="C170" s="1" t="s">
        <v>23</v>
      </c>
      <c r="D170" s="5">
        <v>8</v>
      </c>
      <c r="E170" s="1">
        <v>1</v>
      </c>
    </row>
    <row r="171" spans="1:5" ht="16" x14ac:dyDescent="0.2">
      <c r="A171" s="1" t="s">
        <v>32</v>
      </c>
      <c r="B171" s="1" t="s">
        <v>32</v>
      </c>
      <c r="C171" s="1" t="s">
        <v>23</v>
      </c>
      <c r="D171" s="5">
        <v>8</v>
      </c>
      <c r="E171" s="1">
        <v>4</v>
      </c>
    </row>
    <row r="172" spans="1:5" ht="16" x14ac:dyDescent="0.2">
      <c r="A172" s="1" t="s">
        <v>32</v>
      </c>
      <c r="B172" s="1" t="s">
        <v>32</v>
      </c>
      <c r="C172" s="1" t="s">
        <v>23</v>
      </c>
      <c r="D172" s="5">
        <v>10</v>
      </c>
      <c r="E172" s="1">
        <v>1</v>
      </c>
    </row>
    <row r="173" spans="1:5" ht="16" x14ac:dyDescent="0.2">
      <c r="A173" s="1" t="s">
        <v>133</v>
      </c>
      <c r="B173" s="1" t="s">
        <v>37</v>
      </c>
      <c r="C173" s="1" t="s">
        <v>23</v>
      </c>
      <c r="D173" s="5">
        <v>6</v>
      </c>
      <c r="E173" s="1">
        <v>1</v>
      </c>
    </row>
    <row r="174" spans="1:5" ht="16" x14ac:dyDescent="0.2">
      <c r="A174" s="1" t="s">
        <v>133</v>
      </c>
      <c r="B174" s="1" t="s">
        <v>66</v>
      </c>
      <c r="C174" s="1" t="s">
        <v>23</v>
      </c>
      <c r="D174" s="5">
        <v>6</v>
      </c>
      <c r="E174" s="1">
        <v>1</v>
      </c>
    </row>
    <row r="175" spans="1:5" ht="16" x14ac:dyDescent="0.2">
      <c r="A175" s="1" t="s">
        <v>133</v>
      </c>
      <c r="B175" s="1" t="s">
        <v>30</v>
      </c>
      <c r="C175" s="1" t="s">
        <v>23</v>
      </c>
      <c r="D175" s="5">
        <v>8</v>
      </c>
      <c r="E175" s="1">
        <v>1</v>
      </c>
    </row>
    <row r="176" spans="1:5" ht="16" x14ac:dyDescent="0.2">
      <c r="A176" s="1" t="s">
        <v>133</v>
      </c>
      <c r="B176" s="1" t="s">
        <v>75</v>
      </c>
      <c r="C176" s="1" t="s">
        <v>23</v>
      </c>
      <c r="D176" s="5">
        <v>6</v>
      </c>
      <c r="E176" s="1">
        <v>1</v>
      </c>
    </row>
    <row r="177" spans="1:5" ht="16" x14ac:dyDescent="0.2">
      <c r="A177" s="1" t="s">
        <v>133</v>
      </c>
      <c r="B177" s="1" t="s">
        <v>36</v>
      </c>
      <c r="C177" s="1" t="s">
        <v>23</v>
      </c>
      <c r="D177" s="5">
        <v>10</v>
      </c>
      <c r="E177" s="1">
        <v>1</v>
      </c>
    </row>
    <row r="178" spans="1:5" ht="16" x14ac:dyDescent="0.2">
      <c r="A178" s="1" t="s">
        <v>133</v>
      </c>
      <c r="B178" s="1" t="s">
        <v>48</v>
      </c>
      <c r="C178" s="1" t="s">
        <v>23</v>
      </c>
      <c r="D178" s="5">
        <v>6</v>
      </c>
      <c r="E178" s="1">
        <v>1</v>
      </c>
    </row>
    <row r="179" spans="1:5" ht="16" x14ac:dyDescent="0.2">
      <c r="A179" s="1" t="s">
        <v>133</v>
      </c>
      <c r="B179" s="1" t="s">
        <v>49</v>
      </c>
      <c r="C179" s="1" t="s">
        <v>23</v>
      </c>
      <c r="D179" s="5">
        <v>6</v>
      </c>
      <c r="E179" s="1">
        <v>1</v>
      </c>
    </row>
    <row r="180" spans="1:5" ht="16" x14ac:dyDescent="0.2">
      <c r="A180" s="1" t="s">
        <v>133</v>
      </c>
      <c r="B180" s="1" t="s">
        <v>50</v>
      </c>
      <c r="C180" s="1" t="s">
        <v>23</v>
      </c>
      <c r="D180" s="5">
        <v>8</v>
      </c>
      <c r="E180" s="1">
        <v>1</v>
      </c>
    </row>
    <row r="181" spans="1:5" ht="16" x14ac:dyDescent="0.2">
      <c r="A181" s="1" t="s">
        <v>133</v>
      </c>
      <c r="B181" s="1" t="s">
        <v>37</v>
      </c>
      <c r="C181" s="1" t="s">
        <v>23</v>
      </c>
      <c r="D181" s="5">
        <v>12</v>
      </c>
      <c r="E181" s="1">
        <v>6</v>
      </c>
    </row>
    <row r="182" spans="1:5" ht="16" x14ac:dyDescent="0.2">
      <c r="A182" s="1" t="s">
        <v>133</v>
      </c>
      <c r="B182" s="1" t="s">
        <v>59</v>
      </c>
      <c r="C182" s="1" t="s">
        <v>23</v>
      </c>
      <c r="D182" s="5">
        <v>6</v>
      </c>
      <c r="E182" s="1">
        <v>1</v>
      </c>
    </row>
    <row r="183" spans="1:5" ht="16" x14ac:dyDescent="0.2">
      <c r="A183" s="1" t="s">
        <v>133</v>
      </c>
      <c r="B183" s="1" t="s">
        <v>87</v>
      </c>
      <c r="C183" s="1" t="s">
        <v>23</v>
      </c>
      <c r="D183" s="5">
        <v>4</v>
      </c>
      <c r="E183" s="1">
        <v>1</v>
      </c>
    </row>
    <row r="184" spans="1:5" ht="16" x14ac:dyDescent="0.2">
      <c r="A184" s="1" t="s">
        <v>133</v>
      </c>
      <c r="B184" s="1" t="s">
        <v>52</v>
      </c>
      <c r="C184" s="1" t="s">
        <v>23</v>
      </c>
      <c r="D184" s="5">
        <v>6</v>
      </c>
      <c r="E184" s="1">
        <v>1</v>
      </c>
    </row>
    <row r="185" spans="1:5" ht="16" x14ac:dyDescent="0.2">
      <c r="A185" s="1" t="s">
        <v>133</v>
      </c>
      <c r="B185" s="1" t="s">
        <v>53</v>
      </c>
      <c r="C185" s="1" t="s">
        <v>23</v>
      </c>
      <c r="D185" s="5">
        <v>6</v>
      </c>
      <c r="E185" s="1">
        <v>1</v>
      </c>
    </row>
    <row r="186" spans="1:5" ht="16" x14ac:dyDescent="0.2">
      <c r="A186" s="1" t="s">
        <v>133</v>
      </c>
      <c r="B186" s="1" t="s">
        <v>65</v>
      </c>
      <c r="C186" s="1" t="s">
        <v>23</v>
      </c>
      <c r="D186" s="5">
        <v>6</v>
      </c>
      <c r="E186" s="1">
        <v>1</v>
      </c>
    </row>
    <row r="187" spans="1:5" ht="16" x14ac:dyDescent="0.2">
      <c r="A187" s="1" t="s">
        <v>133</v>
      </c>
      <c r="B187" s="1" t="s">
        <v>88</v>
      </c>
      <c r="C187" s="1" t="s">
        <v>23</v>
      </c>
      <c r="D187" s="5">
        <v>6</v>
      </c>
      <c r="E187" s="1">
        <v>1</v>
      </c>
    </row>
    <row r="188" spans="1:5" ht="16" x14ac:dyDescent="0.2">
      <c r="A188" s="1" t="s">
        <v>133</v>
      </c>
      <c r="B188" s="1" t="s">
        <v>24</v>
      </c>
      <c r="C188" s="1" t="s">
        <v>23</v>
      </c>
      <c r="D188" s="5">
        <v>6</v>
      </c>
      <c r="E188" s="1">
        <v>1</v>
      </c>
    </row>
    <row r="189" spans="1:5" ht="16" x14ac:dyDescent="0.2">
      <c r="A189" s="1" t="s">
        <v>133</v>
      </c>
      <c r="B189" s="1" t="s">
        <v>54</v>
      </c>
      <c r="C189" s="1" t="s">
        <v>23</v>
      </c>
      <c r="D189" s="5">
        <v>6</v>
      </c>
      <c r="E189" s="1">
        <v>1</v>
      </c>
    </row>
    <row r="190" spans="1:5" ht="16" x14ac:dyDescent="0.2">
      <c r="A190" s="1" t="s">
        <v>133</v>
      </c>
      <c r="B190" s="1" t="s">
        <v>55</v>
      </c>
      <c r="C190" s="1" t="s">
        <v>23</v>
      </c>
      <c r="D190" s="5">
        <v>4</v>
      </c>
      <c r="E190" s="1">
        <v>1</v>
      </c>
    </row>
    <row r="191" spans="1:5" ht="16" x14ac:dyDescent="0.2">
      <c r="A191" s="1" t="s">
        <v>133</v>
      </c>
      <c r="B191" s="1" t="s">
        <v>89</v>
      </c>
      <c r="C191" s="1" t="s">
        <v>23</v>
      </c>
      <c r="D191" s="5">
        <v>1</v>
      </c>
      <c r="E191" s="1">
        <v>0.6</v>
      </c>
    </row>
    <row r="192" spans="1:5" ht="16" x14ac:dyDescent="0.2">
      <c r="A192" s="1" t="s">
        <v>133</v>
      </c>
      <c r="B192" s="1" t="s">
        <v>89</v>
      </c>
      <c r="C192" s="1" t="s">
        <v>23</v>
      </c>
      <c r="D192" s="5">
        <v>6</v>
      </c>
      <c r="E192" s="1">
        <v>2</v>
      </c>
    </row>
    <row r="193" spans="1:5" ht="16" x14ac:dyDescent="0.2">
      <c r="A193" s="1" t="s">
        <v>133</v>
      </c>
      <c r="B193" s="1" t="s">
        <v>90</v>
      </c>
      <c r="C193" s="1" t="s">
        <v>23</v>
      </c>
      <c r="D193" s="5">
        <v>2</v>
      </c>
      <c r="E193" s="1">
        <v>1.3</v>
      </c>
    </row>
    <row r="194" spans="1:5" ht="16" x14ac:dyDescent="0.2">
      <c r="A194" s="1" t="s">
        <v>91</v>
      </c>
      <c r="B194" s="1" t="s">
        <v>31</v>
      </c>
      <c r="C194" s="1" t="s">
        <v>23</v>
      </c>
      <c r="D194" s="5">
        <v>1</v>
      </c>
      <c r="E194" s="1">
        <v>1</v>
      </c>
    </row>
    <row r="195" spans="1:5" ht="16" x14ac:dyDescent="0.2">
      <c r="A195" s="1" t="s">
        <v>91</v>
      </c>
      <c r="B195" s="1" t="s">
        <v>92</v>
      </c>
      <c r="C195" s="1" t="s">
        <v>23</v>
      </c>
      <c r="D195" s="5">
        <v>1</v>
      </c>
      <c r="E195" s="1">
        <v>0</v>
      </c>
    </row>
    <row r="196" spans="1:5" ht="16" x14ac:dyDescent="0.2">
      <c r="A196" s="1" t="s">
        <v>91</v>
      </c>
      <c r="B196" s="1" t="s">
        <v>93</v>
      </c>
      <c r="C196" s="1" t="s">
        <v>23</v>
      </c>
      <c r="D196" s="5">
        <v>2</v>
      </c>
      <c r="E196" s="1">
        <v>0</v>
      </c>
    </row>
    <row r="197" spans="1:5" ht="16" x14ac:dyDescent="0.2">
      <c r="A197" s="1" t="s">
        <v>91</v>
      </c>
      <c r="B197" s="1" t="s">
        <v>31</v>
      </c>
      <c r="C197" s="1" t="s">
        <v>85</v>
      </c>
      <c r="D197" s="5">
        <v>1</v>
      </c>
      <c r="E197" s="1">
        <v>0.1</v>
      </c>
    </row>
    <row r="198" spans="1:5" ht="16" x14ac:dyDescent="0.2">
      <c r="A198" s="1" t="s">
        <v>134</v>
      </c>
      <c r="B198" s="1" t="s">
        <v>66</v>
      </c>
      <c r="C198" s="1" t="s">
        <v>23</v>
      </c>
      <c r="D198" s="5">
        <v>2</v>
      </c>
      <c r="E198" s="1">
        <v>0.25</v>
      </c>
    </row>
    <row r="199" spans="1:5" ht="16" x14ac:dyDescent="0.2">
      <c r="A199" s="1" t="s">
        <v>134</v>
      </c>
      <c r="B199" s="1" t="s">
        <v>57</v>
      </c>
      <c r="C199" s="1" t="s">
        <v>23</v>
      </c>
      <c r="D199" s="5">
        <v>2</v>
      </c>
      <c r="E199" s="1">
        <v>0.25</v>
      </c>
    </row>
    <row r="200" spans="1:5" ht="16" x14ac:dyDescent="0.2">
      <c r="A200" s="1" t="s">
        <v>134</v>
      </c>
      <c r="B200" s="1" t="s">
        <v>67</v>
      </c>
      <c r="C200" s="1" t="s">
        <v>23</v>
      </c>
      <c r="D200" s="5">
        <v>2</v>
      </c>
      <c r="E200" s="1">
        <v>0.5</v>
      </c>
    </row>
    <row r="201" spans="1:5" ht="16" x14ac:dyDescent="0.2">
      <c r="A201" s="1" t="s">
        <v>134</v>
      </c>
      <c r="B201" s="1" t="s">
        <v>55</v>
      </c>
      <c r="C201" s="1" t="s">
        <v>23</v>
      </c>
      <c r="D201" s="5">
        <v>7</v>
      </c>
      <c r="E201" s="1">
        <v>2</v>
      </c>
    </row>
    <row r="202" spans="1:5" ht="16" x14ac:dyDescent="0.2">
      <c r="A202" s="1" t="s">
        <v>134</v>
      </c>
      <c r="B202" s="1" t="s">
        <v>94</v>
      </c>
      <c r="C202" s="1" t="s">
        <v>23</v>
      </c>
      <c r="D202" s="5">
        <v>1</v>
      </c>
      <c r="E202" s="1">
        <v>0.5</v>
      </c>
    </row>
    <row r="203" spans="1:5" ht="16" x14ac:dyDescent="0.2">
      <c r="A203" s="1" t="s">
        <v>134</v>
      </c>
      <c r="B203" s="1" t="s">
        <v>25</v>
      </c>
      <c r="C203" s="1" t="s">
        <v>23</v>
      </c>
      <c r="D203" s="5">
        <v>6</v>
      </c>
      <c r="E203" s="1">
        <v>1</v>
      </c>
    </row>
    <row r="204" spans="1:5" ht="16" x14ac:dyDescent="0.2">
      <c r="A204" s="1" t="s">
        <v>134</v>
      </c>
      <c r="B204" s="1" t="s">
        <v>67</v>
      </c>
      <c r="C204" s="1" t="s">
        <v>23</v>
      </c>
      <c r="D204" s="5">
        <v>6</v>
      </c>
      <c r="E204" s="1">
        <v>1</v>
      </c>
    </row>
    <row r="205" spans="1:5" ht="16" x14ac:dyDescent="0.2">
      <c r="A205" s="1" t="s">
        <v>134</v>
      </c>
      <c r="B205" s="1" t="s">
        <v>54</v>
      </c>
      <c r="C205" s="1" t="s">
        <v>23</v>
      </c>
      <c r="D205" s="5">
        <v>6</v>
      </c>
      <c r="E205" s="1">
        <v>1</v>
      </c>
    </row>
    <row r="206" spans="1:5" ht="16" x14ac:dyDescent="0.2">
      <c r="A206" s="1" t="s">
        <v>134</v>
      </c>
      <c r="B206" s="1" t="s">
        <v>95</v>
      </c>
      <c r="C206" s="1" t="s">
        <v>23</v>
      </c>
      <c r="D206" s="5">
        <v>4</v>
      </c>
      <c r="E206" s="1">
        <v>1</v>
      </c>
    </row>
    <row r="207" spans="1:5" ht="16" x14ac:dyDescent="0.2">
      <c r="A207" s="1" t="s">
        <v>134</v>
      </c>
      <c r="B207" s="1" t="s">
        <v>55</v>
      </c>
      <c r="C207" s="1" t="s">
        <v>23</v>
      </c>
      <c r="D207" s="5">
        <v>6</v>
      </c>
      <c r="E207" s="1">
        <v>1</v>
      </c>
    </row>
    <row r="208" spans="1:5" ht="16" x14ac:dyDescent="0.2">
      <c r="A208" s="1" t="s">
        <v>134</v>
      </c>
      <c r="B208" s="1" t="s">
        <v>59</v>
      </c>
      <c r="C208" s="1" t="s">
        <v>23</v>
      </c>
      <c r="D208" s="5">
        <v>8</v>
      </c>
      <c r="E208" s="1">
        <v>1</v>
      </c>
    </row>
    <row r="209" spans="1:5" ht="16" x14ac:dyDescent="0.2">
      <c r="A209" s="1" t="s">
        <v>96</v>
      </c>
      <c r="B209" s="1" t="s">
        <v>53</v>
      </c>
      <c r="C209" s="1" t="s">
        <v>23</v>
      </c>
      <c r="D209" s="5">
        <v>6</v>
      </c>
      <c r="E209" s="1">
        <v>1</v>
      </c>
    </row>
    <row r="210" spans="1:5" ht="16" x14ac:dyDescent="0.2">
      <c r="A210" s="1" t="s">
        <v>135</v>
      </c>
      <c r="B210" s="1" t="s">
        <v>97</v>
      </c>
      <c r="C210" s="1" t="s">
        <v>23</v>
      </c>
      <c r="D210" s="5">
        <v>6</v>
      </c>
      <c r="E210" s="1">
        <v>1</v>
      </c>
    </row>
    <row r="211" spans="1:5" ht="16" x14ac:dyDescent="0.2">
      <c r="A211" s="1" t="s">
        <v>135</v>
      </c>
      <c r="B211" s="1" t="s">
        <v>97</v>
      </c>
      <c r="C211" s="1" t="s">
        <v>23</v>
      </c>
      <c r="D211" s="5">
        <v>8</v>
      </c>
      <c r="E211" s="1">
        <v>1</v>
      </c>
    </row>
    <row r="212" spans="1:5" ht="16" x14ac:dyDescent="0.2">
      <c r="A212" s="1" t="s">
        <v>56</v>
      </c>
      <c r="B212" s="1" t="s">
        <v>98</v>
      </c>
      <c r="C212" s="1" t="s">
        <v>23</v>
      </c>
      <c r="D212" s="5">
        <v>7</v>
      </c>
      <c r="E212" s="1">
        <v>1</v>
      </c>
    </row>
    <row r="213" spans="1:5" ht="16" x14ac:dyDescent="0.2">
      <c r="A213" s="1" t="s">
        <v>56</v>
      </c>
      <c r="B213" s="1" t="s">
        <v>33</v>
      </c>
      <c r="C213" s="1" t="s">
        <v>23</v>
      </c>
      <c r="D213" s="5">
        <v>1</v>
      </c>
      <c r="E213" s="1">
        <v>0</v>
      </c>
    </row>
    <row r="214" spans="1:5" ht="16" x14ac:dyDescent="0.2">
      <c r="A214" s="1" t="s">
        <v>56</v>
      </c>
      <c r="B214" s="1" t="s">
        <v>33</v>
      </c>
      <c r="C214" s="1" t="s">
        <v>23</v>
      </c>
      <c r="D214" s="5">
        <v>1</v>
      </c>
      <c r="E214" s="1">
        <v>1.4</v>
      </c>
    </row>
    <row r="215" spans="1:5" ht="16" x14ac:dyDescent="0.2">
      <c r="A215" s="1" t="s">
        <v>56</v>
      </c>
      <c r="B215" s="1" t="s">
        <v>33</v>
      </c>
      <c r="C215" s="1" t="s">
        <v>23</v>
      </c>
      <c r="D215" s="5">
        <v>1</v>
      </c>
      <c r="E215" s="1">
        <v>0.1</v>
      </c>
    </row>
    <row r="216" spans="1:5" ht="16" x14ac:dyDescent="0.2">
      <c r="A216" s="1" t="s">
        <v>56</v>
      </c>
      <c r="B216" s="1" t="s">
        <v>33</v>
      </c>
      <c r="C216" s="1" t="s">
        <v>23</v>
      </c>
      <c r="D216" s="5">
        <v>6</v>
      </c>
      <c r="E216" s="1">
        <v>2</v>
      </c>
    </row>
    <row r="217" spans="1:5" ht="16" x14ac:dyDescent="0.2">
      <c r="A217" s="1" t="s">
        <v>56</v>
      </c>
      <c r="B217" s="1" t="s">
        <v>33</v>
      </c>
      <c r="C217" s="1" t="s">
        <v>23</v>
      </c>
      <c r="D217" s="5">
        <v>1</v>
      </c>
      <c r="E217" s="1">
        <v>1.4</v>
      </c>
    </row>
    <row r="218" spans="1:5" ht="16" x14ac:dyDescent="0.2">
      <c r="A218" s="1" t="s">
        <v>56</v>
      </c>
      <c r="B218" s="1" t="s">
        <v>33</v>
      </c>
      <c r="C218" s="1" t="s">
        <v>23</v>
      </c>
      <c r="D218" s="5">
        <v>1</v>
      </c>
      <c r="E218" s="1">
        <v>0</v>
      </c>
    </row>
    <row r="219" spans="1:5" ht="16" x14ac:dyDescent="0.2">
      <c r="A219" s="1" t="s">
        <v>56</v>
      </c>
      <c r="B219" s="1" t="s">
        <v>99</v>
      </c>
      <c r="C219" s="1" t="s">
        <v>23</v>
      </c>
      <c r="D219" s="5">
        <v>6</v>
      </c>
      <c r="E219" s="1">
        <v>1</v>
      </c>
    </row>
    <row r="220" spans="1:5" ht="16" x14ac:dyDescent="0.2">
      <c r="A220" s="1" t="s">
        <v>56</v>
      </c>
      <c r="B220" s="1" t="s">
        <v>56</v>
      </c>
      <c r="C220" s="1" t="s">
        <v>23</v>
      </c>
      <c r="D220" s="5">
        <v>1</v>
      </c>
      <c r="E220" s="1">
        <v>0.9</v>
      </c>
    </row>
    <row r="221" spans="1:5" ht="16" x14ac:dyDescent="0.2">
      <c r="A221" s="1" t="s">
        <v>56</v>
      </c>
      <c r="B221" s="1" t="s">
        <v>56</v>
      </c>
      <c r="C221" s="1" t="s">
        <v>23</v>
      </c>
      <c r="D221" s="5">
        <v>4</v>
      </c>
      <c r="E221" s="1">
        <v>1</v>
      </c>
    </row>
    <row r="222" spans="1:5" ht="16" x14ac:dyDescent="0.2">
      <c r="A222" s="1" t="s">
        <v>56</v>
      </c>
      <c r="B222" s="1" t="s">
        <v>56</v>
      </c>
      <c r="C222" s="1" t="s">
        <v>23</v>
      </c>
      <c r="D222" s="5">
        <v>4</v>
      </c>
      <c r="E222" s="1">
        <v>1</v>
      </c>
    </row>
    <row r="223" spans="1:5" ht="16" x14ac:dyDescent="0.2">
      <c r="A223" s="1" t="s">
        <v>56</v>
      </c>
      <c r="B223" s="1" t="s">
        <v>56</v>
      </c>
      <c r="C223" s="1" t="s">
        <v>23</v>
      </c>
      <c r="D223" s="5">
        <v>4</v>
      </c>
      <c r="E223" s="1">
        <v>1</v>
      </c>
    </row>
    <row r="224" spans="1:5" ht="16" x14ac:dyDescent="0.2">
      <c r="A224" s="1" t="s">
        <v>56</v>
      </c>
      <c r="B224" s="1" t="s">
        <v>56</v>
      </c>
      <c r="C224" s="1" t="s">
        <v>23</v>
      </c>
      <c r="D224" s="5">
        <v>6</v>
      </c>
      <c r="E224" s="1">
        <v>3</v>
      </c>
    </row>
    <row r="225" spans="1:5" ht="16" x14ac:dyDescent="0.2">
      <c r="A225" s="1" t="s">
        <v>56</v>
      </c>
      <c r="B225" s="1" t="s">
        <v>56</v>
      </c>
      <c r="C225" s="1" t="s">
        <v>23</v>
      </c>
      <c r="D225" s="5">
        <v>6</v>
      </c>
      <c r="E225" s="1">
        <v>2.5</v>
      </c>
    </row>
    <row r="226" spans="1:5" ht="16" x14ac:dyDescent="0.2">
      <c r="A226" s="1" t="s">
        <v>56</v>
      </c>
      <c r="B226" s="1" t="s">
        <v>56</v>
      </c>
      <c r="C226" s="1" t="s">
        <v>23</v>
      </c>
      <c r="D226" s="5">
        <v>4</v>
      </c>
      <c r="E226" s="1">
        <v>1</v>
      </c>
    </row>
    <row r="227" spans="1:5" ht="16" x14ac:dyDescent="0.2">
      <c r="A227" s="1" t="s">
        <v>45</v>
      </c>
      <c r="B227" s="1" t="s">
        <v>102</v>
      </c>
      <c r="C227" s="1" t="s">
        <v>23</v>
      </c>
      <c r="D227" s="5">
        <v>16</v>
      </c>
      <c r="E227" s="1">
        <v>3</v>
      </c>
    </row>
    <row r="228" spans="1:5" ht="16" x14ac:dyDescent="0.2">
      <c r="A228" s="1" t="s">
        <v>45</v>
      </c>
      <c r="B228" s="1" t="s">
        <v>102</v>
      </c>
      <c r="C228" s="1" t="s">
        <v>23</v>
      </c>
      <c r="D228" s="5">
        <v>12</v>
      </c>
      <c r="E228" s="1">
        <v>1</v>
      </c>
    </row>
    <row r="229" spans="1:5" ht="16" x14ac:dyDescent="0.2">
      <c r="A229" s="1" t="s">
        <v>45</v>
      </c>
      <c r="B229" s="1" t="s">
        <v>45</v>
      </c>
      <c r="C229" s="1" t="s">
        <v>23</v>
      </c>
      <c r="D229" s="5">
        <v>10</v>
      </c>
      <c r="E229" s="1">
        <v>1</v>
      </c>
    </row>
    <row r="230" spans="1:5" ht="16" x14ac:dyDescent="0.2">
      <c r="A230" s="1" t="s">
        <v>103</v>
      </c>
      <c r="B230" s="1" t="s">
        <v>104</v>
      </c>
      <c r="C230" s="1" t="s">
        <v>23</v>
      </c>
      <c r="D230" s="5">
        <v>6</v>
      </c>
      <c r="E230" s="1">
        <v>1</v>
      </c>
    </row>
    <row r="231" spans="1:5" ht="16" x14ac:dyDescent="0.2">
      <c r="A231" s="1" t="s">
        <v>107</v>
      </c>
      <c r="B231" s="1" t="s">
        <v>105</v>
      </c>
      <c r="C231" s="1" t="s">
        <v>23</v>
      </c>
      <c r="D231" s="5">
        <v>12</v>
      </c>
      <c r="E231" s="1">
        <v>24</v>
      </c>
    </row>
    <row r="232" spans="1:5" ht="16" x14ac:dyDescent="0.2">
      <c r="A232" s="1" t="s">
        <v>107</v>
      </c>
      <c r="B232" s="1" t="s">
        <v>105</v>
      </c>
      <c r="C232" s="1" t="s">
        <v>23</v>
      </c>
      <c r="D232" s="5">
        <v>10</v>
      </c>
      <c r="E232" s="1">
        <v>2</v>
      </c>
    </row>
    <row r="233" spans="1:5" ht="16" x14ac:dyDescent="0.2">
      <c r="A233" s="1" t="s">
        <v>107</v>
      </c>
      <c r="B233" s="1" t="s">
        <v>105</v>
      </c>
      <c r="C233" s="1" t="s">
        <v>23</v>
      </c>
      <c r="D233" s="5">
        <v>1</v>
      </c>
      <c r="E233" s="1">
        <v>16</v>
      </c>
    </row>
    <row r="234" spans="1:5" ht="16" x14ac:dyDescent="0.2">
      <c r="A234" s="1" t="s">
        <v>107</v>
      </c>
      <c r="B234" s="1" t="s">
        <v>106</v>
      </c>
      <c r="C234" s="1" t="s">
        <v>23</v>
      </c>
      <c r="D234" s="5">
        <v>12</v>
      </c>
      <c r="E234" s="1">
        <v>2</v>
      </c>
    </row>
    <row r="235" spans="1:5" ht="16" x14ac:dyDescent="0.2">
      <c r="A235" s="1" t="s">
        <v>107</v>
      </c>
      <c r="B235" s="1" t="s">
        <v>106</v>
      </c>
      <c r="C235" s="1" t="s">
        <v>23</v>
      </c>
      <c r="D235" s="5">
        <v>8</v>
      </c>
      <c r="E235" s="1">
        <v>1</v>
      </c>
    </row>
    <row r="236" spans="1:5" ht="16" x14ac:dyDescent="0.2">
      <c r="A236" s="1" t="s">
        <v>107</v>
      </c>
      <c r="B236" s="1" t="s">
        <v>107</v>
      </c>
      <c r="C236" s="1" t="s">
        <v>23</v>
      </c>
      <c r="D236" s="5">
        <v>27</v>
      </c>
      <c r="E236" s="1">
        <v>15</v>
      </c>
    </row>
    <row r="237" spans="1:5" ht="16" x14ac:dyDescent="0.2">
      <c r="A237" s="1" t="s">
        <v>107</v>
      </c>
      <c r="B237" s="1" t="s">
        <v>107</v>
      </c>
      <c r="C237" s="1" t="s">
        <v>23</v>
      </c>
      <c r="D237" s="5">
        <v>3</v>
      </c>
      <c r="E237" s="1">
        <v>0.2</v>
      </c>
    </row>
    <row r="238" spans="1:5" ht="16" x14ac:dyDescent="0.2">
      <c r="A238" s="1" t="s">
        <v>108</v>
      </c>
      <c r="B238" s="1" t="s">
        <v>109</v>
      </c>
      <c r="C238" s="1" t="s">
        <v>23</v>
      </c>
      <c r="D238" s="5">
        <v>4</v>
      </c>
      <c r="E238" s="1">
        <v>1</v>
      </c>
    </row>
    <row r="239" spans="1:5" ht="16" x14ac:dyDescent="0.2">
      <c r="A239" s="1" t="s">
        <v>101</v>
      </c>
      <c r="B239" s="1" t="s">
        <v>100</v>
      </c>
      <c r="C239" s="1" t="s">
        <v>23</v>
      </c>
      <c r="D239" s="5">
        <v>2</v>
      </c>
      <c r="E239" s="1">
        <v>0.25</v>
      </c>
    </row>
    <row r="240" spans="1:5" ht="16" x14ac:dyDescent="0.2">
      <c r="A240" s="1" t="s">
        <v>101</v>
      </c>
      <c r="B240" s="1" t="s">
        <v>101</v>
      </c>
      <c r="C240" s="1" t="s">
        <v>23</v>
      </c>
      <c r="D240" s="5">
        <v>2</v>
      </c>
      <c r="E240" s="1">
        <v>0.6</v>
      </c>
    </row>
    <row r="241" spans="1:5" ht="16" x14ac:dyDescent="0.2">
      <c r="A241" s="1" t="s">
        <v>101</v>
      </c>
      <c r="B241" s="1" t="s">
        <v>37</v>
      </c>
      <c r="C241" s="1" t="s">
        <v>23</v>
      </c>
      <c r="D241" s="5">
        <v>10</v>
      </c>
      <c r="E241" s="1">
        <v>1.5</v>
      </c>
    </row>
    <row r="242" spans="1:5" ht="16" x14ac:dyDescent="0.2">
      <c r="A242" s="1" t="s">
        <v>101</v>
      </c>
      <c r="B242" s="1" t="s">
        <v>101</v>
      </c>
      <c r="C242" s="1" t="s">
        <v>23</v>
      </c>
      <c r="D242" s="5">
        <v>2</v>
      </c>
      <c r="E242" s="1">
        <v>1.8</v>
      </c>
    </row>
    <row r="243" spans="1:5" ht="16" x14ac:dyDescent="0.2">
      <c r="A243" s="1" t="s">
        <v>101</v>
      </c>
      <c r="B243" s="1" t="s">
        <v>37</v>
      </c>
      <c r="C243" s="1" t="s">
        <v>23</v>
      </c>
      <c r="D243" s="5">
        <v>8</v>
      </c>
      <c r="E243" s="1">
        <v>1</v>
      </c>
    </row>
    <row r="244" spans="1:5" ht="16" x14ac:dyDescent="0.2">
      <c r="A244" s="1" t="s">
        <v>34</v>
      </c>
      <c r="B244" s="1" t="s">
        <v>34</v>
      </c>
      <c r="C244" s="1" t="s">
        <v>23</v>
      </c>
      <c r="D244" s="5">
        <v>1</v>
      </c>
      <c r="E244" s="1">
        <v>0.1</v>
      </c>
    </row>
    <row r="245" spans="1:5" ht="16" x14ac:dyDescent="0.2">
      <c r="A245" s="1" t="s">
        <v>34</v>
      </c>
      <c r="B245" s="1" t="s">
        <v>34</v>
      </c>
      <c r="C245" s="1" t="s">
        <v>23</v>
      </c>
      <c r="D245" s="5">
        <v>1</v>
      </c>
      <c r="E245" s="1">
        <v>0</v>
      </c>
    </row>
    <row r="246" spans="1:5" ht="16" x14ac:dyDescent="0.2">
      <c r="A246" s="1" t="s">
        <v>34</v>
      </c>
      <c r="B246" s="1" t="s">
        <v>34</v>
      </c>
      <c r="C246" s="1" t="s">
        <v>23</v>
      </c>
      <c r="D246" s="5">
        <v>4</v>
      </c>
      <c r="E246" s="1">
        <v>1</v>
      </c>
    </row>
    <row r="247" spans="1:5" ht="16" x14ac:dyDescent="0.2">
      <c r="A247" s="1" t="s">
        <v>34</v>
      </c>
      <c r="B247" s="1" t="s">
        <v>34</v>
      </c>
      <c r="C247" s="1" t="s">
        <v>23</v>
      </c>
      <c r="D247" s="5">
        <v>1</v>
      </c>
      <c r="E247" s="1">
        <v>0</v>
      </c>
    </row>
    <row r="248" spans="1:5" ht="16" x14ac:dyDescent="0.2">
      <c r="A248" s="1" t="s">
        <v>110</v>
      </c>
      <c r="B248" s="1" t="s">
        <v>111</v>
      </c>
      <c r="C248" s="1" t="s">
        <v>23</v>
      </c>
      <c r="D248" s="5">
        <v>1</v>
      </c>
      <c r="E248" s="1">
        <v>0</v>
      </c>
    </row>
    <row r="249" spans="1:5" ht="16" x14ac:dyDescent="0.2">
      <c r="A249" s="1" t="s">
        <v>112</v>
      </c>
      <c r="B249" s="1" t="s">
        <v>87</v>
      </c>
      <c r="C249" s="1" t="s">
        <v>23</v>
      </c>
      <c r="D249" s="5">
        <v>4</v>
      </c>
      <c r="E249" s="1">
        <v>1</v>
      </c>
    </row>
    <row r="250" spans="1:5" ht="16" x14ac:dyDescent="0.2">
      <c r="A250" s="1" t="s">
        <v>37</v>
      </c>
      <c r="B250" s="1" t="s">
        <v>113</v>
      </c>
      <c r="C250" s="1" t="s">
        <v>23</v>
      </c>
      <c r="D250" s="5">
        <v>8</v>
      </c>
      <c r="E250" s="1">
        <v>1</v>
      </c>
    </row>
    <row r="251" spans="1:5" ht="16" x14ac:dyDescent="0.2">
      <c r="A251" s="1" t="s">
        <v>37</v>
      </c>
      <c r="B251" s="1" t="s">
        <v>113</v>
      </c>
      <c r="C251" s="1" t="s">
        <v>23</v>
      </c>
      <c r="D251" s="5">
        <v>2</v>
      </c>
      <c r="E251" s="1">
        <v>0.15</v>
      </c>
    </row>
    <row r="252" spans="1:5" ht="16" x14ac:dyDescent="0.2">
      <c r="A252" s="1" t="s">
        <v>37</v>
      </c>
      <c r="B252" s="1" t="s">
        <v>114</v>
      </c>
      <c r="C252" s="1" t="s">
        <v>23</v>
      </c>
      <c r="D252" s="5">
        <v>6</v>
      </c>
      <c r="E252" s="1">
        <v>1</v>
      </c>
    </row>
    <row r="253" spans="1:5" ht="16" x14ac:dyDescent="0.2">
      <c r="A253" s="1" t="s">
        <v>37</v>
      </c>
      <c r="B253" s="1" t="s">
        <v>37</v>
      </c>
      <c r="C253" s="1" t="s">
        <v>23</v>
      </c>
      <c r="D253" s="5">
        <v>6</v>
      </c>
      <c r="E253" s="1">
        <v>1</v>
      </c>
    </row>
    <row r="254" spans="1:5" ht="16" x14ac:dyDescent="0.2">
      <c r="A254" s="1" t="s">
        <v>37</v>
      </c>
      <c r="B254" s="1" t="s">
        <v>115</v>
      </c>
      <c r="C254" s="1" t="s">
        <v>23</v>
      </c>
      <c r="D254" s="5">
        <v>6</v>
      </c>
      <c r="E254" s="1">
        <v>1</v>
      </c>
    </row>
    <row r="255" spans="1:5" ht="16" x14ac:dyDescent="0.2">
      <c r="A255" s="1" t="s">
        <v>37</v>
      </c>
      <c r="B255" s="1" t="s">
        <v>115</v>
      </c>
      <c r="C255" s="1" t="s">
        <v>23</v>
      </c>
      <c r="D255" s="5">
        <v>6</v>
      </c>
      <c r="E255" s="1">
        <v>1</v>
      </c>
    </row>
    <row r="256" spans="1:5" ht="16" x14ac:dyDescent="0.2">
      <c r="A256" s="1" t="s">
        <v>37</v>
      </c>
      <c r="B256" s="1" t="s">
        <v>37</v>
      </c>
      <c r="C256" s="1" t="s">
        <v>23</v>
      </c>
      <c r="D256" s="5">
        <v>8</v>
      </c>
      <c r="E256" s="1">
        <v>1</v>
      </c>
    </row>
    <row r="257" spans="1:5" ht="16" x14ac:dyDescent="0.2">
      <c r="A257" s="1" t="s">
        <v>37</v>
      </c>
      <c r="B257" s="1" t="s">
        <v>37</v>
      </c>
      <c r="C257" s="1" t="s">
        <v>23</v>
      </c>
      <c r="D257" s="5">
        <v>14</v>
      </c>
      <c r="E257" s="1">
        <v>1</v>
      </c>
    </row>
    <row r="258" spans="1:5" ht="16" x14ac:dyDescent="0.2">
      <c r="A258" s="1" t="s">
        <v>37</v>
      </c>
      <c r="B258" s="1" t="s">
        <v>37</v>
      </c>
      <c r="C258" s="1" t="s">
        <v>23</v>
      </c>
      <c r="D258" s="5">
        <v>12</v>
      </c>
      <c r="E258" s="1">
        <v>1</v>
      </c>
    </row>
    <row r="259" spans="1:5" ht="16" x14ac:dyDescent="0.2">
      <c r="A259" s="1" t="s">
        <v>37</v>
      </c>
      <c r="B259" s="1" t="s">
        <v>37</v>
      </c>
      <c r="C259" s="1" t="s">
        <v>23</v>
      </c>
      <c r="D259" s="5">
        <v>6</v>
      </c>
      <c r="E259" s="1">
        <v>1</v>
      </c>
    </row>
    <row r="260" spans="1:5" ht="16" x14ac:dyDescent="0.2">
      <c r="A260" s="1" t="s">
        <v>116</v>
      </c>
      <c r="B260" s="1" t="s">
        <v>66</v>
      </c>
      <c r="C260" s="1" t="s">
        <v>23</v>
      </c>
      <c r="D260" s="5">
        <v>6</v>
      </c>
      <c r="E260" s="1">
        <v>1</v>
      </c>
    </row>
    <row r="261" spans="1:5" ht="16" x14ac:dyDescent="0.2">
      <c r="A261" s="1" t="s">
        <v>116</v>
      </c>
      <c r="B261" s="1" t="s">
        <v>66</v>
      </c>
      <c r="C261" s="1" t="s">
        <v>23</v>
      </c>
      <c r="D261" s="5">
        <v>8</v>
      </c>
      <c r="E261" s="1">
        <v>1</v>
      </c>
    </row>
    <row r="262" spans="1:5" ht="16" x14ac:dyDescent="0.2">
      <c r="A262" s="1" t="s">
        <v>51</v>
      </c>
      <c r="B262" s="1" t="s">
        <v>117</v>
      </c>
      <c r="C262" s="1" t="s">
        <v>23</v>
      </c>
      <c r="D262" s="5">
        <v>2</v>
      </c>
      <c r="E262" s="1">
        <v>0.4</v>
      </c>
    </row>
    <row r="263" spans="1:5" ht="32" x14ac:dyDescent="0.2">
      <c r="A263" s="1" t="s">
        <v>51</v>
      </c>
      <c r="B263" s="1" t="s">
        <v>118</v>
      </c>
      <c r="C263" s="1" t="s">
        <v>23</v>
      </c>
      <c r="D263" s="5">
        <v>4</v>
      </c>
      <c r="E263" s="1">
        <v>1</v>
      </c>
    </row>
    <row r="264" spans="1:5" ht="16" x14ac:dyDescent="0.2">
      <c r="A264" s="1" t="s">
        <v>51</v>
      </c>
      <c r="B264" s="1" t="s">
        <v>51</v>
      </c>
      <c r="C264" s="1" t="s">
        <v>23</v>
      </c>
      <c r="D264" s="5">
        <v>6</v>
      </c>
      <c r="E264" s="1">
        <v>2</v>
      </c>
    </row>
    <row r="265" spans="1:5" ht="16" x14ac:dyDescent="0.2">
      <c r="A265" s="1" t="s">
        <v>119</v>
      </c>
      <c r="B265" s="1" t="s">
        <v>28</v>
      </c>
      <c r="C265" s="1" t="s">
        <v>23</v>
      </c>
      <c r="D265" s="5">
        <v>8</v>
      </c>
      <c r="E265" s="1">
        <v>1.5</v>
      </c>
    </row>
    <row r="266" spans="1:5" ht="16" x14ac:dyDescent="0.2">
      <c r="A266" s="1" t="s">
        <v>122</v>
      </c>
      <c r="B266" s="1" t="s">
        <v>120</v>
      </c>
      <c r="C266" s="1" t="s">
        <v>23</v>
      </c>
      <c r="D266" s="5">
        <v>16</v>
      </c>
      <c r="E266" s="1">
        <v>5</v>
      </c>
    </row>
    <row r="267" spans="1:5" ht="16" x14ac:dyDescent="0.2">
      <c r="A267" s="1" t="s">
        <v>122</v>
      </c>
      <c r="B267" s="1" t="s">
        <v>120</v>
      </c>
      <c r="C267" s="1" t="s">
        <v>23</v>
      </c>
      <c r="D267" s="5">
        <v>16</v>
      </c>
      <c r="E267" s="1">
        <v>3</v>
      </c>
    </row>
    <row r="268" spans="1:5" ht="16" x14ac:dyDescent="0.2">
      <c r="A268" s="1" t="s">
        <v>122</v>
      </c>
      <c r="B268" s="1" t="s">
        <v>121</v>
      </c>
      <c r="C268" s="1" t="s">
        <v>23</v>
      </c>
      <c r="D268" s="5">
        <v>12</v>
      </c>
      <c r="E268" s="1">
        <v>1</v>
      </c>
    </row>
    <row r="269" spans="1:5" ht="16" x14ac:dyDescent="0.2">
      <c r="A269" s="1" t="s">
        <v>122</v>
      </c>
      <c r="B269" s="1" t="s">
        <v>121</v>
      </c>
      <c r="C269" s="1" t="s">
        <v>23</v>
      </c>
      <c r="D269" s="5">
        <v>8</v>
      </c>
      <c r="E269" s="1">
        <v>1</v>
      </c>
    </row>
    <row r="270" spans="1:5" ht="16" x14ac:dyDescent="0.2">
      <c r="A270" s="1" t="s">
        <v>123</v>
      </c>
      <c r="B270" s="1" t="s">
        <v>124</v>
      </c>
      <c r="C270" s="1" t="s">
        <v>23</v>
      </c>
      <c r="D270" s="5">
        <v>10</v>
      </c>
      <c r="E270" s="1">
        <v>2</v>
      </c>
    </row>
    <row r="271" spans="1:5" ht="16" x14ac:dyDescent="0.2">
      <c r="A271" s="1" t="s">
        <v>125</v>
      </c>
      <c r="B271" s="1" t="s">
        <v>54</v>
      </c>
      <c r="C271" s="1" t="s">
        <v>23</v>
      </c>
      <c r="D271" s="5">
        <v>8</v>
      </c>
      <c r="E271" s="1">
        <v>1</v>
      </c>
    </row>
    <row r="272" spans="1:5" ht="16" x14ac:dyDescent="0.2">
      <c r="A272" s="1" t="s">
        <v>55</v>
      </c>
      <c r="B272" s="1" t="s">
        <v>126</v>
      </c>
      <c r="C272" s="1" t="s">
        <v>23</v>
      </c>
      <c r="D272" s="5">
        <v>1</v>
      </c>
      <c r="E272" s="1">
        <v>0.5</v>
      </c>
    </row>
    <row r="273" spans="1:5" ht="16" x14ac:dyDescent="0.2">
      <c r="A273" s="1" t="s">
        <v>55</v>
      </c>
      <c r="B273" s="1" t="s">
        <v>89</v>
      </c>
      <c r="C273" s="1" t="s">
        <v>23</v>
      </c>
      <c r="D273" s="5">
        <v>8</v>
      </c>
      <c r="E273" s="1">
        <v>8</v>
      </c>
    </row>
    <row r="274" spans="1:5" ht="16" x14ac:dyDescent="0.2">
      <c r="A274" s="1" t="s">
        <v>55</v>
      </c>
      <c r="B274" s="1" t="s">
        <v>55</v>
      </c>
      <c r="C274" s="1" t="s">
        <v>23</v>
      </c>
      <c r="D274" s="5">
        <v>1</v>
      </c>
      <c r="E274" s="1">
        <v>0.5</v>
      </c>
    </row>
    <row r="275" spans="1:5" ht="16" x14ac:dyDescent="0.2">
      <c r="A275" s="1" t="s">
        <v>55</v>
      </c>
      <c r="B275" s="1" t="s">
        <v>55</v>
      </c>
      <c r="C275" s="1" t="s">
        <v>23</v>
      </c>
      <c r="D275" s="5">
        <v>7</v>
      </c>
      <c r="E275" s="1">
        <v>1</v>
      </c>
    </row>
    <row r="276" spans="1:5" ht="16" x14ac:dyDescent="0.2">
      <c r="A276" s="1" t="s">
        <v>55</v>
      </c>
      <c r="B276" s="1" t="s">
        <v>55</v>
      </c>
      <c r="C276" s="1" t="s">
        <v>23</v>
      </c>
      <c r="D276" s="5">
        <v>6</v>
      </c>
      <c r="E276" s="1">
        <v>1</v>
      </c>
    </row>
    <row r="277" spans="1:5" ht="16" x14ac:dyDescent="0.2">
      <c r="A277" s="1" t="s">
        <v>55</v>
      </c>
      <c r="B277" s="1" t="s">
        <v>55</v>
      </c>
      <c r="C277" s="1" t="s">
        <v>23</v>
      </c>
      <c r="D277" s="5">
        <v>4</v>
      </c>
      <c r="E277" s="1">
        <v>1</v>
      </c>
    </row>
    <row r="278" spans="1:5" ht="16" x14ac:dyDescent="0.2">
      <c r="A278" s="1" t="s">
        <v>127</v>
      </c>
      <c r="B278" s="1" t="s">
        <v>95</v>
      </c>
      <c r="C278" s="1" t="s">
        <v>23</v>
      </c>
      <c r="D278" s="5">
        <v>4</v>
      </c>
      <c r="E278" s="1">
        <v>1</v>
      </c>
    </row>
  </sheetData>
  <sortState ref="G3:H46">
    <sortCondition ref="G3:G46"/>
  </sortState>
  <hyperlinks>
    <hyperlink ref="D33" r:id="rId1" display="http://tumor.informatics.jax.org/mtbwi/tumorSummary.do?strainKey=9064&amp;organOfOriginKey=12&amp;tumorFrequencyKeys=97548,97743" xr:uid="{00000000-0004-0000-0200-000000000000}"/>
    <hyperlink ref="D79" r:id="rId2" display="http://tumor.informatics.jax.org/mtbwi/tumorSummary.do?strainKey=9064&amp;organOfOriginKey=13&amp;tumorFrequencyKeys=97564,97759" xr:uid="{00000000-0004-0000-0200-000001000000}"/>
    <hyperlink ref="D81" r:id="rId3" display="http://tumor.informatics.jax.org/mtbwi/tumorSummary.do?strainKey=9064&amp;organOfOriginKey=13&amp;tumorFrequencyKeys=97563,97758" xr:uid="{00000000-0004-0000-0200-000002000000}"/>
    <hyperlink ref="D84" r:id="rId4" display="http://tumor.informatics.jax.org/mtbwi/tumorSummary.do?strainKey=9064&amp;organOfOriginKey=13&amp;tumorFrequencyKeys=97562,97757" xr:uid="{00000000-0004-0000-0200-000003000000}"/>
    <hyperlink ref="D85" r:id="rId5" display="http://tumor.informatics.jax.org/mtbwi/tumorSummary.do?strainKey=9064&amp;organOfOriginKey=13&amp;tumorFrequencyKeys=97551" xr:uid="{00000000-0004-0000-0200-000004000000}"/>
    <hyperlink ref="D86" r:id="rId6" display="http://tumor.informatics.jax.org/mtbwi/tumorSummary.do?strainKey=9064&amp;organOfOriginKey=13&amp;tumorFrequencyKeys=97746" xr:uid="{00000000-0004-0000-0200-000005000000}"/>
    <hyperlink ref="D89" r:id="rId7" display="http://tumor.informatics.jax.org/mtbwi/tumorSummary.do?strainKey=9064&amp;organOfOriginKey=15&amp;tumorFrequencyKeys=97559,97754" xr:uid="{00000000-0004-0000-0200-000006000000}"/>
    <hyperlink ref="D90" r:id="rId8" display="http://tumor.informatics.jax.org/mtbwi/tumorSummary.do?strainKey=9064&amp;organOfOriginKey=15&amp;tumorFrequencyKeys=97561,97756" xr:uid="{00000000-0004-0000-0200-000007000000}"/>
    <hyperlink ref="D92" r:id="rId9" display="http://tumor.informatics.jax.org/mtbwi/tumorSummary.do?strainKey=9064&amp;organOfOriginKey=15&amp;tumorFrequencyKeys=97550,97745" xr:uid="{00000000-0004-0000-0200-000008000000}"/>
    <hyperlink ref="D93" r:id="rId10" display="http://tumor.informatics.jax.org/mtbwi/tumorSummary.do?strainKey=9064&amp;organOfOriginKey=15&amp;tumorFrequencyKeys=97560,97755" xr:uid="{00000000-0004-0000-0200-000009000000}"/>
    <hyperlink ref="D97" r:id="rId11" display="http://tumor.informatics.jax.org/mtbwi/tumorSummary.do?strainKey=9064&amp;organOfOriginKey=38&amp;tumorFrequencyKeys=97555,97750" xr:uid="{00000000-0004-0000-0200-00000A000000}"/>
    <hyperlink ref="D104" r:id="rId12" display="http://tumor.informatics.jax.org/mtbwi/tumorSummary.do?strainKey=9064&amp;organOfOriginKey=36&amp;tumorFrequencyKeys=97554" xr:uid="{00000000-0004-0000-0200-00000B000000}"/>
    <hyperlink ref="D107" r:id="rId13" display="http://tumor.informatics.jax.org/mtbwi/tumorSummary.do?strainKey=9064&amp;organOfOriginKey=68&amp;tumorFrequencyKeys=97546,97741" xr:uid="{00000000-0004-0000-0200-00000C000000}"/>
    <hyperlink ref="D131" r:id="rId14" display="http://tumor.informatics.jax.org/mtbwi/tumorSummary.do?strainKey=9064&amp;organOfOriginKey=3&amp;tumorFrequencyKeys=97547,97742" xr:uid="{00000000-0004-0000-0200-00000D000000}"/>
    <hyperlink ref="D147" r:id="rId15" display="http://tumor.informatics.jax.org/mtbwi/tumorSummary.do?strainKey=9064&amp;organOfOriginKey=26&amp;tumorFrequencyKeys=97760" xr:uid="{00000000-0004-0000-0200-00000E000000}"/>
    <hyperlink ref="D149" r:id="rId16" display="http://tumor.informatics.jax.org/mtbwi/tumorSummary.do?strainKey=9064&amp;organOfOriginKey=26&amp;tumorFrequencyKeys=97761" xr:uid="{00000000-0004-0000-0200-00000F000000}"/>
    <hyperlink ref="D151" r:id="rId17" display="http://tumor.informatics.jax.org/mtbwi/tumorSummary.do?strainKey=9064&amp;organOfOriginKey=26&amp;tumorFrequencyKeys=97553,97747" xr:uid="{00000000-0004-0000-0200-000010000000}"/>
    <hyperlink ref="D158" r:id="rId18" display="http://tumor.informatics.jax.org/mtbwi/tumorSummary.do?strainKey=9064&amp;organOfOriginKey=4&amp;tumorFrequencyKeys=97557,97752" xr:uid="{00000000-0004-0000-0200-000011000000}"/>
    <hyperlink ref="D160" r:id="rId19" display="http://tumor.informatics.jax.org/mtbwi/tumorSummary.do?strainKey=9064&amp;organOfOriginKey=4&amp;tumorFrequencyKeys=97558,97753" xr:uid="{00000000-0004-0000-0200-000012000000}"/>
    <hyperlink ref="D162" r:id="rId20" display="http://tumor.informatics.jax.org/mtbwi/tumorSummary.do?strainKey=9064&amp;organOfOriginKey=4&amp;tumorFrequencyKeys=97556,97751" xr:uid="{00000000-0004-0000-0200-000013000000}"/>
    <hyperlink ref="D163" r:id="rId21" display="http://tumor.informatics.jax.org/mtbwi/tumorSummary.do?strainKey=9064&amp;organOfOriginKey=4&amp;tumorFrequencyKeys=97549,97744" xr:uid="{00000000-0004-0000-0200-000014000000}"/>
    <hyperlink ref="D168" r:id="rId22" display="http://tumor.informatics.jax.org/mtbwi/tumorSummary.do?strainKey=9064&amp;organOfOriginKey=5&amp;tumorFrequencyKeys=97748" xr:uid="{00000000-0004-0000-0200-000015000000}"/>
    <hyperlink ref="D213" r:id="rId23" display="http://tumor.informatics.jax.org/mtbwi/tumorSummary.do?strainKey=9064&amp;organOfOriginKey=80&amp;tumorFrequencyKeys=97762" xr:uid="{00000000-0004-0000-0200-000016000000}"/>
    <hyperlink ref="D214" r:id="rId24" display="http://tumor.informatics.jax.org/mtbwi/tumorSummary.do?strainKey=9064&amp;organOfOriginKey=80&amp;tumorFrequencyKeys=97749" xr:uid="{00000000-0004-0000-0200-000017000000}"/>
    <hyperlink ref="D217" r:id="rId25" display="http://tumor.informatics.jax.org/mtbwi/tumorSummary.do?strainKey=9064&amp;organOfOriginKey=80&amp;tumorFrequencyKeys=97763" xr:uid="{00000000-0004-0000-0200-000018000000}"/>
    <hyperlink ref="D218" r:id="rId26" display="http://tumor.informatics.jax.org/mtbwi/tumorSummary.do?strainKey=9064&amp;organOfOriginKey=80&amp;tumorFrequencyKeys=97764" xr:uid="{00000000-0004-0000-0200-000019000000}"/>
    <hyperlink ref="D247" r:id="rId27" display="http://tumor.informatics.jax.org/mtbwi/tumorSummary.do?strainKey=9064&amp;organOfOriginKey=57&amp;tumorFrequencyKeys=97552" xr:uid="{00000000-0004-0000-0200-00001A000000}"/>
    <hyperlink ref="D3" r:id="rId28" display="http://tumor.informatics.jax.org/mtbwi/tumorSummary.do?strainKey=164&amp;organOfOriginKey=116&amp;tumorFrequencyKeys=74783,75114,75115,75116,75459,75460,75461,75841" xr:uid="{00000000-0004-0000-0200-00001B000000}"/>
    <hyperlink ref="D4" r:id="rId29" display="http://tumor.informatics.jax.org/mtbwi/tumorSummary.do?strainKey=164&amp;organOfOriginKey=116&amp;tumorFrequencyKeys=74897,74898,74899,75218,75219,75220,75573,75964" xr:uid="{00000000-0004-0000-0200-00001C000000}"/>
    <hyperlink ref="D5" r:id="rId30" display="http://tumor.informatics.jax.org/mtbwi/tumorSummary.do?strainKey=164&amp;organOfOriginKey=116&amp;tumorFrequencyKeys=74932,74933,74934,75251,75606,75991" xr:uid="{00000000-0004-0000-0200-00001D000000}"/>
    <hyperlink ref="D6" r:id="rId31" display="http://tumor.informatics.jax.org/mtbwi/tumorSummary.do?strainKey=164&amp;organOfOriginKey=116&amp;tumorFrequencyKeys=80281,80457" xr:uid="{00000000-0004-0000-0200-00001E000000}"/>
    <hyperlink ref="D7" r:id="rId32" display="http://tumor.informatics.jax.org/mtbwi/tumorSummary.do?strainKey=164&amp;organOfOriginKey=510&amp;tumorFrequencyKeys=74787,74788,74789,75118,75119,75120,75465,75845,75846,75847" xr:uid="{00000000-0004-0000-0200-00001F000000}"/>
    <hyperlink ref="D8" r:id="rId33" display="http://tumor.informatics.jax.org/mtbwi/tumorSummary.do?strainKey=164&amp;organOfOriginKey=49&amp;tumorFrequencyKeys=44320,44355,74790,74791,74792,75121,75122,75123,75466,75467,75468,75848,75849,75850,80261,80437" xr:uid="{00000000-0004-0000-0200-000020000000}"/>
    <hyperlink ref="D9" r:id="rId34" display="http://tumor.informatics.jax.org/mtbwi/tumorSummary.do?strainKey=164&amp;organOfOriginKey=49&amp;tumorFrequencyKeys=74793,75124,75469,75470,75471,75851,75852,75853,80262,80438" xr:uid="{00000000-0004-0000-0200-000021000000}"/>
    <hyperlink ref="D10" r:id="rId35" display="http://tumor.informatics.jax.org/mtbwi/tumorSummary.do?strainKey=164&amp;organOfOriginKey=49&amp;tumorFrequencyKeys=84978" xr:uid="{00000000-0004-0000-0200-000022000000}"/>
    <hyperlink ref="D11" r:id="rId36" display="http://tumor.informatics.jax.org/mtbwi/tumorSummary.do?strainKey=164&amp;organOfOriginKey=49&amp;tumorFrequencyKeys=10923" xr:uid="{00000000-0004-0000-0200-000023000000}"/>
    <hyperlink ref="D12" r:id="rId37" display="http://tumor.informatics.jax.org/mtbwi/tumorSummary.do?strainKey=164&amp;organOfOriginKey=72&amp;tumorFrequencyKeys=10938,44321,44356,74794,74795,74796,75125,75126,75127,75472,75473,75474,75854,75855,75856,80263,80439" xr:uid="{00000000-0004-0000-0200-000024000000}"/>
    <hyperlink ref="D13" r:id="rId38" display="http://tumor.informatics.jax.org/mtbwi/tumorSummary.do?strainKey=164&amp;organOfOriginKey=72&amp;tumorFrequencyKeys=80264,80440" xr:uid="{00000000-0004-0000-0200-000025000000}"/>
    <hyperlink ref="D14" r:id="rId39" display="http://tumor.informatics.jax.org/mtbwi/tumorSummary.do?strainKey=164&amp;organOfOriginKey=12&amp;tumorFrequencyKeys=11428,11429,11430,11431,11432,11433,11434,11435,11436,11437,11438,11439,11440,11441,11442,11443,11444,11445,11446,11447,11448,11449,11450,11451,11452,11453,11454,11455,11484,11485,11488,11489,27496,27500,44347,44399,74682,74683,74684,75033,75034,75035,75372,75373,75374,75752,75753,75754,80251,80427" xr:uid="{00000000-0004-0000-0200-000026000000}"/>
    <hyperlink ref="D15" r:id="rId40" display="http://tumor.informatics.jax.org/mtbwi/tumorSummary.do?strainKey=164&amp;organOfOriginKey=12&amp;tumorFrequencyKeys=74695,75044,75383,75767,75768,75769" xr:uid="{00000000-0004-0000-0200-000027000000}"/>
    <hyperlink ref="D16" r:id="rId41" display="http://tumor.informatics.jax.org/mtbwi/tumorSummary.do?strainKey=164&amp;organOfOriginKey=12&amp;tumorFrequencyKeys=74758,74759,74760,75095,75096,75097,75434,75435,75436,75820,75821,75822" xr:uid="{00000000-0004-0000-0200-000028000000}"/>
    <hyperlink ref="D17" r:id="rId42" display="http://tumor.informatics.jax.org/mtbwi/tumorSummary.do?strainKey=164&amp;organOfOriginKey=12&amp;tumorFrequencyKeys=74771,74772,74773,75106,75107,75108,75445,75831" xr:uid="{00000000-0004-0000-0200-000029000000}"/>
    <hyperlink ref="D18" r:id="rId43" display="http://tumor.informatics.jax.org/mtbwi/tumorSummary.do?strainKey=164&amp;organOfOriginKey=12&amp;tumorFrequencyKeys=74777,74778,74779,75112,75453,75454,75455,75837" xr:uid="{00000000-0004-0000-0200-00002A000000}"/>
    <hyperlink ref="D19" r:id="rId44" display="http://tumor.informatics.jax.org/mtbwi/tumorSummary.do?strainKey=164&amp;organOfOriginKey=12&amp;tumorFrequencyKeys=74833,75160,75511,75512,75513,75893" xr:uid="{00000000-0004-0000-0200-00002B000000}"/>
    <hyperlink ref="D20" r:id="rId45" display="http://tumor.informatics.jax.org/mtbwi/tumorSummary.do?strainKey=164&amp;organOfOriginKey=12&amp;tumorFrequencyKeys=74843,75168,75519,75903,75904,75905" xr:uid="{00000000-0004-0000-0200-00002C000000}"/>
    <hyperlink ref="D21" r:id="rId46" display="http://tumor.informatics.jax.org/mtbwi/tumorSummary.do?strainKey=164&amp;organOfOriginKey=12&amp;tumorFrequencyKeys=74844,75169,75170,75171,75520,75906" xr:uid="{00000000-0004-0000-0200-00002D000000}"/>
    <hyperlink ref="D22" r:id="rId47" display="http://tumor.informatics.jax.org/mtbwi/tumorSummary.do?strainKey=164&amp;organOfOriginKey=12&amp;tumorFrequencyKeys=74850,75179,75180,75181,75526,75910" xr:uid="{00000000-0004-0000-0200-00002E000000}"/>
    <hyperlink ref="D23" r:id="rId48" display="http://tumor.informatics.jax.org/mtbwi/tumorSummary.do?strainKey=164&amp;organOfOriginKey=12&amp;tumorFrequencyKeys=74854,74855,74856,75185,75186,75187,75532,75533,75534,75918,75919,75920" xr:uid="{00000000-0004-0000-0200-00002F000000}"/>
    <hyperlink ref="D24" r:id="rId49" display="http://tumor.informatics.jax.org/mtbwi/tumorSummary.do?strainKey=164&amp;organOfOriginKey=12&amp;tumorFrequencyKeys=74890,75211,75212,75213,75566,75567,75568,75960,75961,75962" xr:uid="{00000000-0004-0000-0200-000030000000}"/>
    <hyperlink ref="D25" r:id="rId50" display="http://tumor.informatics.jax.org/mtbwi/tumorSummary.do?strainKey=164&amp;organOfOriginKey=12&amp;tumorFrequencyKeys=74955,75266,75267,75268" xr:uid="{00000000-0004-0000-0200-000031000000}"/>
    <hyperlink ref="D26" r:id="rId51" display="http://tumor.informatics.jax.org/mtbwi/tumorSummary.do?strainKey=164&amp;organOfOriginKey=12&amp;tumorFrequencyKeys=74961,74962,74963,75278" xr:uid="{00000000-0004-0000-0200-000032000000}"/>
    <hyperlink ref="D27" r:id="rId52" display="http://tumor.informatics.jax.org/mtbwi/tumorSummary.do?strainKey=164&amp;organOfOriginKey=12&amp;tumorFrequencyKeys=74966,75283,75691,76081,76082,76083" xr:uid="{00000000-0004-0000-0200-000033000000}"/>
    <hyperlink ref="D28" r:id="rId53" display="http://tumor.informatics.jax.org/mtbwi/tumorSummary.do?strainKey=164&amp;organOfOriginKey=12&amp;tumorFrequencyKeys=74978,75295,75705,76100,76101,76102" xr:uid="{00000000-0004-0000-0200-000034000000}"/>
    <hyperlink ref="D29" r:id="rId54" display="http://tumor.informatics.jax.org/mtbwi/tumorSummary.do?strainKey=164&amp;organOfOriginKey=12&amp;tumorFrequencyKeys=75013,75344,75345,75346,75734,76145" xr:uid="{00000000-0004-0000-0200-000035000000}"/>
    <hyperlink ref="D30" r:id="rId55" display="http://tumor.informatics.jax.org/mtbwi/tumorSummary.do?strainKey=164&amp;organOfOriginKey=12&amp;tumorFrequencyKeys=75018,75353,75737,75738,75739,76148" xr:uid="{00000000-0004-0000-0200-000036000000}"/>
    <hyperlink ref="D31" r:id="rId56" display="http://tumor.informatics.jax.org/mtbwi/tumorSummary.do?strainKey=164&amp;organOfOriginKey=12&amp;tumorFrequencyKeys=75651,75652,75653,76042,76043,76044" xr:uid="{00000000-0004-0000-0200-000037000000}"/>
    <hyperlink ref="D32" r:id="rId57" display="http://tumor.informatics.jax.org/mtbwi/tumorSummary.do?strainKey=164&amp;organOfOriginKey=12&amp;tumorFrequencyKeys=75681,75682,75683,76074,76075,76076" xr:uid="{00000000-0004-0000-0200-000038000000}"/>
    <hyperlink ref="D34" r:id="rId58" display="http://tumor.informatics.jax.org/mtbwi/tumorSummary.do?strainKey=164&amp;organOfOriginKey=12&amp;tumorFrequencyKeys=11456,11457,11458,11459,11460,11461,11462,11463,11464,11465,11466,11467,11468,11469,11470,11471,11472,11473,11474,11475,11476,11477,11478,11479,11480,11481,11482,11483,11486,11487,11490,11491,11504,27498,27502,30708,30729,44348,44400,74685,74686,74687,75036,75037,75038,75375,75376,75377,75755,75756,75757,80252,80428" xr:uid="{00000000-0004-0000-0200-000039000000}"/>
    <hyperlink ref="D35" r:id="rId59" display="http://tumor.informatics.jax.org/mtbwi/tumorSummary.do?strainKey=164&amp;organOfOriginKey=12&amp;tumorFrequencyKeys=30470,30491,30705,30725,74761,74762,74763,75098,75099,75100,75437,75438,75439,75823,75824,75825" xr:uid="{00000000-0004-0000-0200-00003A000000}"/>
    <hyperlink ref="D36" r:id="rId60" display="http://tumor.informatics.jax.org/mtbwi/tumorSummary.do?strainKey=164&amp;organOfOriginKey=12&amp;tumorFrequencyKeys=74688,74689,74690,75039,75378,75379,75380,75758,75759,75760" xr:uid="{00000000-0004-0000-0200-00003B000000}"/>
    <hyperlink ref="D37" r:id="rId61" display="http://tumor.informatics.jax.org/mtbwi/tumorSummary.do?strainKey=164&amp;organOfOriginKey=12&amp;tumorFrequencyKeys=74725,74726,74727,75068,75407,75797" xr:uid="{00000000-0004-0000-0200-00003C000000}"/>
    <hyperlink ref="D38" r:id="rId62" display="http://tumor.informatics.jax.org/mtbwi/tumorSummary.do?strainKey=164&amp;organOfOriginKey=12&amp;tumorFrequencyKeys=74780,74781,74782,75113,75456,75457,75458,75838,75839,75840" xr:uid="{00000000-0004-0000-0200-00003D000000}"/>
    <hyperlink ref="D39" r:id="rId63" display="http://tumor.informatics.jax.org/mtbwi/tumorSummary.do?strainKey=164&amp;organOfOriginKey=12&amp;tumorFrequencyKeys=74834,74835,74836,75161,75162,75163,75514,75515,75516,75894,75895,75896" xr:uid="{00000000-0004-0000-0200-00003E000000}"/>
    <hyperlink ref="D40" r:id="rId64" display="http://tumor.informatics.jax.org/mtbwi/tumorSummary.do?strainKey=164&amp;organOfOriginKey=12&amp;tumorFrequencyKeys=74845,74846,74847,75172,75173,75174,75521,75907" xr:uid="{00000000-0004-0000-0200-00003F000000}"/>
    <hyperlink ref="D41" r:id="rId65" display="http://tumor.informatics.jax.org/mtbwi/tumorSummary.do?strainKey=164&amp;organOfOriginKey=12&amp;tumorFrequencyKeys=74851,75182,75527,75911,75912,75913" xr:uid="{00000000-0004-0000-0200-000040000000}"/>
    <hyperlink ref="D42" r:id="rId66" display="http://tumor.informatics.jax.org/mtbwi/tumorSummary.do?strainKey=164&amp;organOfOriginKey=12&amp;tumorFrequencyKeys=74857,74858,74859,75188,75189,75190,75535,75536,75537,75921,75922,75923" xr:uid="{00000000-0004-0000-0200-000041000000}"/>
    <hyperlink ref="D43" r:id="rId67" display="http://tumor.informatics.jax.org/mtbwi/tumorSummary.do?strainKey=164&amp;organOfOriginKey=12&amp;tumorFrequencyKeys=74868,75195,75196,75197,75546,75936" xr:uid="{00000000-0004-0000-0200-000042000000}"/>
    <hyperlink ref="D44" r:id="rId68" display="http://tumor.informatics.jax.org/mtbwi/tumorSummary.do?strainKey=164&amp;organOfOriginKey=12&amp;tumorFrequencyKeys=74891,74892,74893,75214,75215,75216,75569,75570,75571,76161,76162,76163" xr:uid="{00000000-0004-0000-0200-000043000000}"/>
    <hyperlink ref="D45" r:id="rId69" display="http://tumor.informatics.jax.org/mtbwi/tumorSummary.do?strainKey=164&amp;organOfOriginKey=12&amp;tumorFrequencyKeys=74923,75242,75243,75244,75597,75982,75983,75984" xr:uid="{00000000-0004-0000-0200-000044000000}"/>
    <hyperlink ref="D46" r:id="rId70" display="http://tumor.informatics.jax.org/mtbwi/tumorSummary.do?strainKey=164&amp;organOfOriginKey=12&amp;tumorFrequencyKeys=74927,74928,74929,75246,75247,75248,75599,75600,75601,75986" xr:uid="{00000000-0004-0000-0200-000045000000}"/>
    <hyperlink ref="D47" r:id="rId71" display="http://tumor.informatics.jax.org/mtbwi/tumorSummary.do?strainKey=164&amp;organOfOriginKey=12&amp;tumorFrequencyKeys=74944,75257" xr:uid="{00000000-0004-0000-0200-000046000000}"/>
    <hyperlink ref="D48" r:id="rId72" display="http://tumor.informatics.jax.org/mtbwi/tumorSummary.do?strainKey=164&amp;organOfOriginKey=12&amp;tumorFrequencyKeys=74956,75269,75270,75271" xr:uid="{00000000-0004-0000-0200-000047000000}"/>
    <hyperlink ref="D49" r:id="rId73" display="http://tumor.informatics.jax.org/mtbwi/tumorSummary.do?strainKey=164&amp;organOfOriginKey=12&amp;tumorFrequencyKeys=74979,74980,74981,75296,75297,75298,75706,76104,76105,76106" xr:uid="{00000000-0004-0000-0200-000048000000}"/>
    <hyperlink ref="D50" r:id="rId74" display="http://tumor.informatics.jax.org/mtbwi/tumorSummary.do?strainKey=164&amp;organOfOriginKey=12&amp;tumorFrequencyKeys=75014,75347,75348,75349,75735,76146" xr:uid="{00000000-0004-0000-0200-000049000000}"/>
    <hyperlink ref="D51" r:id="rId75" display="http://tumor.informatics.jax.org/mtbwi/tumorSummary.do?strainKey=164&amp;organOfOriginKey=12&amp;tumorFrequencyKeys=75019,75020,75021,75354,75355,75356,75740,76149" xr:uid="{00000000-0004-0000-0200-00004A000000}"/>
    <hyperlink ref="D52" r:id="rId76" display="http://tumor.informatics.jax.org/mtbwi/tumorSummary.do?strainKey=164&amp;organOfOriginKey=12&amp;tumorFrequencyKeys=75620,75621,75622,76003,76004,76005" xr:uid="{00000000-0004-0000-0200-00004B000000}"/>
    <hyperlink ref="D53" r:id="rId77" display="http://tumor.informatics.jax.org/mtbwi/tumorSummary.do?strainKey=164&amp;organOfOriginKey=12&amp;tumorFrequencyKeys=75654,75655,75656,76045,76046,76047" xr:uid="{00000000-0004-0000-0200-00004C000000}"/>
    <hyperlink ref="D54" r:id="rId78" display="http://tumor.informatics.jax.org/mtbwi/tumorSummary.do?strainKey=164&amp;organOfOriginKey=12&amp;tumorFrequencyKeys=75684,75685,75686,76078" xr:uid="{00000000-0004-0000-0200-00004D000000}"/>
    <hyperlink ref="D55" r:id="rId79" display="http://tumor.informatics.jax.org/mtbwi/tumorSummary.do?strainKey=164&amp;organOfOriginKey=12&amp;tumorFrequencyKeys=10922,80375,80376,80377,80378,80379,80380,80381,80382,80383,80384,80385,80386,80387,80388,80389,80690,80691,80692,80693,80694,80695,80696,80697,80698,80699,80700,80701,80702,80703,80704" xr:uid="{00000000-0004-0000-0200-00004E000000}"/>
    <hyperlink ref="D56" r:id="rId80" display="http://tumor.informatics.jax.org/mtbwi/tumorSummary.do?strainKey=164&amp;organOfOriginKey=71&amp;tumorFrequencyKeys=44341,44393,74917,74918,74919,75238,75239,75240,75591,75592,75593,75978,75979,75980,80282,80629" xr:uid="{00000000-0004-0000-0200-00004F000000}"/>
    <hyperlink ref="D60" r:id="rId81" display="http://tumor.informatics.jax.org/mtbwi/tumorSummary.do?strainKey=164&amp;organOfOriginKey=86&amp;tumorFrequencyKeys=44343,44395,80284,80631" xr:uid="{00000000-0004-0000-0200-000050000000}"/>
    <hyperlink ref="D61" r:id="rId82" display="http://tumor.informatics.jax.org/mtbwi/tumorSummary.do?strainKey=164&amp;organOfOriginKey=319&amp;tumorFrequencyKeys=74935,74936,74937,75252,75607,75608,75609,75992,75993,75994" xr:uid="{00000000-0004-0000-0200-000051000000}"/>
    <hyperlink ref="D57" r:id="rId83" display="http://tumor.informatics.jax.org/mtbwi/tumorSummary.do?strainKey=164&amp;organOfOriginKey=51&amp;tumorFrequencyKeys=80634" xr:uid="{00000000-0004-0000-0200-000052000000}"/>
    <hyperlink ref="D58" r:id="rId84" display="http://tumor.informatics.jax.org/mtbwi/tumorSummary.do?strainKey=164&amp;organOfOriginKey=51&amp;tumorFrequencyKeys=80635" xr:uid="{00000000-0004-0000-0200-000053000000}"/>
    <hyperlink ref="D59" r:id="rId85" display="http://tumor.informatics.jax.org/mtbwi/tumorSummary.do?strainKey=164&amp;organOfOriginKey=51&amp;tumorFrequencyKeys=75619,76002" xr:uid="{00000000-0004-0000-0200-000054000000}"/>
    <hyperlink ref="D62" r:id="rId86" display="http://tumor.informatics.jax.org/mtbwi/tumorSummary.do?strainKey=164&amp;organOfOriginKey=48&amp;tumorFrequencyKeys=44344,44396,74900,74901,74902,75221,75222,75223,75574,75965" xr:uid="{00000000-0004-0000-0200-000055000000}"/>
    <hyperlink ref="D63" r:id="rId87" display="http://tumor.informatics.jax.org/mtbwi/tumorSummary.do?strainKey=164&amp;organOfOriginKey=48&amp;tumorFrequencyKeys=44349,44401" xr:uid="{00000000-0004-0000-0200-000056000000}"/>
    <hyperlink ref="D64" r:id="rId88" display="http://tumor.informatics.jax.org/mtbwi/tumorSummary.do?strainKey=164&amp;organOfOriginKey=48&amp;tumorFrequencyKeys=74982,74983,74984,75299,75707,76109" xr:uid="{00000000-0004-0000-0200-000057000000}"/>
    <hyperlink ref="D65" r:id="rId89" display="http://tumor.informatics.jax.org/mtbwi/tumorSummary.do?strainKey=164&amp;organOfOriginKey=48&amp;tumorFrequencyKeys=44342,44394,74924,74925,74926,75245,75598,75985" xr:uid="{00000000-0004-0000-0200-000058000000}"/>
    <hyperlink ref="D66" r:id="rId90" display="http://tumor.informatics.jax.org/mtbwi/tumorSummary.do?strainKey=164&amp;organOfOriginKey=48&amp;tumorFrequencyKeys=44345,44397,74903,74904,74905,75224,75225,75226,75575,75576,75577,75966,75967,75968" xr:uid="{00000000-0004-0000-0200-000059000000}"/>
    <hyperlink ref="D67" r:id="rId91" display="http://tumor.informatics.jax.org/mtbwi/tumorSummary.do?strainKey=164&amp;organOfOriginKey=48&amp;tumorFrequencyKeys=74717,75058,75059,75060,75399,75787" xr:uid="{00000000-0004-0000-0200-00005A000000}"/>
    <hyperlink ref="D68" r:id="rId92" display="http://tumor.informatics.jax.org/mtbwi/tumorSummary.do?strainKey=164&amp;organOfOriginKey=48&amp;tumorFrequencyKeys=74728,74729,74730,75069,75408,75798" xr:uid="{00000000-0004-0000-0200-00005B000000}"/>
    <hyperlink ref="D69" r:id="rId93" display="http://tumor.informatics.jax.org/mtbwi/tumorSummary.do?strainKey=164&amp;organOfOriginKey=48&amp;tumorFrequencyKeys=74775,75110,75449,75833,75834,75835" xr:uid="{00000000-0004-0000-0200-00005C000000}"/>
    <hyperlink ref="D70" r:id="rId94" display="http://tumor.informatics.jax.org/mtbwi/tumorSummary.do?strainKey=164&amp;organOfOriginKey=48&amp;tumorFrequencyKeys=74860,75191,75538,75539,75540,75924,75925,75926" xr:uid="{00000000-0004-0000-0200-00005D000000}"/>
    <hyperlink ref="D71" r:id="rId95" display="http://tumor.informatics.jax.org/mtbwi/tumorSummary.do?strainKey=164&amp;organOfOriginKey=48&amp;tumorFrequencyKeys=74920,74921,74922,75241,75594,75595,75596,75981" xr:uid="{00000000-0004-0000-0200-00005E000000}"/>
    <hyperlink ref="D72" r:id="rId96" display="http://tumor.informatics.jax.org/mtbwi/tumorSummary.do?strainKey=164&amp;organOfOriginKey=48&amp;tumorFrequencyKeys=74985,74986,74987,75300,75301,75302,75708,76110,76111,76112" xr:uid="{00000000-0004-0000-0200-00005F000000}"/>
    <hyperlink ref="D73" r:id="rId97" display="http://tumor.informatics.jax.org/mtbwi/tumorSummary.do?strainKey=164&amp;organOfOriginKey=48&amp;tumorFrequencyKeys=80297,80298,80299,80300,80301,80302,80303,80304,80305,80306,80307,80308,80309,80310,80311,80645,80646,80647,80648,80649,80650,80651,80652,80653,80654,80655,80656,80657,80658,80659" xr:uid="{00000000-0004-0000-0200-000060000000}"/>
    <hyperlink ref="D74" r:id="rId98" display="http://tumor.informatics.jax.org/mtbwi/tumorSummary.do?strainKey=164&amp;organOfOriginKey=414&amp;tumorFrequencyKeys=75002,75333,75334,75335,75723,76136" xr:uid="{00000000-0004-0000-0200-000061000000}"/>
    <hyperlink ref="D75" r:id="rId99" display="http://tumor.informatics.jax.org/mtbwi/tumorSummary.do?strainKey=164&amp;organOfOriginKey=414&amp;tumorFrequencyKeys=75003,75336,75724,75725,75726,76137" xr:uid="{00000000-0004-0000-0200-000062000000}"/>
    <hyperlink ref="D76" r:id="rId100" display="http://tumor.informatics.jax.org/mtbwi/tumorSummary.do?strainKey=164&amp;organOfOriginKey=242&amp;tumorFrequencyKeys=74992,75305,75713,76115,76116,76117" xr:uid="{00000000-0004-0000-0200-000063000000}"/>
    <hyperlink ref="D77" r:id="rId101" display="http://tumor.informatics.jax.org/mtbwi/tumorSummary.do?strainKey=164&amp;organOfOriginKey=242&amp;tumorFrequencyKeys=74993,75306,75714,76121,76123,76124" xr:uid="{00000000-0004-0000-0200-000064000000}"/>
    <hyperlink ref="D78" r:id="rId102" display="http://tumor.informatics.jax.org/mtbwi/tumorSummary.do?strainKey=164&amp;organOfOriginKey=18&amp;tumorFrequencyKeys=74702,75047,75386,75387,75388,75774" xr:uid="{00000000-0004-0000-0200-000065000000}"/>
    <hyperlink ref="D80" r:id="rId103" display="http://tumor.informatics.jax.org/mtbwi/tumorSummary.do?strainKey=164&amp;organOfOriginKey=13&amp;tumorFrequencyKeys=11388" xr:uid="{00000000-0004-0000-0200-000066000000}"/>
    <hyperlink ref="D82" r:id="rId104" display="http://tumor.informatics.jax.org/mtbwi/tumorSummary.do?strainKey=164&amp;organOfOriginKey=13&amp;tumorFrequencyKeys=314,11387,44339,44391,74995,74996,74997,75310,75311,75312,75716,75717,75718,76129,76130,76131,80293,80642" xr:uid="{00000000-0004-0000-0200-000067000000}"/>
    <hyperlink ref="D83" r:id="rId105" display="http://tumor.informatics.jax.org/mtbwi/tumorSummary.do?strainKey=164&amp;organOfOriginKey=13&amp;tumorFrequencyKeys=74998,74999,75000,75313,75314,75315,75719,75720,75721,76132,76133,76134,80294,80643" xr:uid="{00000000-0004-0000-0200-000068000000}"/>
    <hyperlink ref="D87" r:id="rId106" display="http://tumor.informatics.jax.org/mtbwi/tumorSummary.do?strainKey=164&amp;organOfOriginKey=13&amp;tumorFrequencyKeys=10920,10927,11391,11397,11403" xr:uid="{00000000-0004-0000-0200-000069000000}"/>
    <hyperlink ref="D88" r:id="rId107" display="http://tumor.informatics.jax.org/mtbwi/tumorSummary.do?strainKey=164&amp;organOfOriginKey=467&amp;tumorFrequencyKeys=44340,44392" xr:uid="{00000000-0004-0000-0200-00006A000000}"/>
    <hyperlink ref="D91" r:id="rId108" display="http://tumor.informatics.jax.org/mtbwi/tumorSummary.do?strainKey=164&amp;organOfOriginKey=15&amp;tumorFrequencyKeys=74706,74707,74708,75051,75392,75778,75779,75780,80257,80433" xr:uid="{00000000-0004-0000-0200-00006B000000}"/>
    <hyperlink ref="D94" r:id="rId109" display="http://tumor.informatics.jax.org/mtbwi/tumorSummary.do?strainKey=164&amp;organOfOriginKey=15&amp;tumorFrequencyKeys=74703,74704,74705,75048,75049,75050,75389,75390,75391,75775,75776,75777,80256,80432" xr:uid="{00000000-0004-0000-0200-00006C000000}"/>
    <hyperlink ref="D95" r:id="rId110" display="http://tumor.informatics.jax.org/mtbwi/tumorSummary.do?strainKey=164&amp;organOfOriginKey=193&amp;tumorFrequencyKeys=74764,74765,74766,75101,75440,75826" xr:uid="{00000000-0004-0000-0200-00006D000000}"/>
    <hyperlink ref="D96" r:id="rId111" display="http://tumor.informatics.jax.org/mtbwi/tumorSummary.do?strainKey=164&amp;organOfOriginKey=199&amp;tumorFrequencyKeys=44364" xr:uid="{00000000-0004-0000-0200-00006E000000}"/>
    <hyperlink ref="D98" r:id="rId112" display="http://tumor.informatics.jax.org/mtbwi/tumorSummary.do?strainKey=164&amp;organOfOriginKey=74&amp;tumorFrequencyKeys=74732,74733,74734,75071,75412,75800" xr:uid="{00000000-0004-0000-0200-00006F000000}"/>
    <hyperlink ref="D99" r:id="rId113" display="http://tumor.informatics.jax.org/mtbwi/tumorSummary.do?strainKey=164&amp;organOfOriginKey=64&amp;tumorFrequencyKeys=80258,80434" xr:uid="{00000000-0004-0000-0200-000070000000}"/>
    <hyperlink ref="D100" r:id="rId114" display="http://tumor.informatics.jax.org/mtbwi/tumorSummary.do?strainKey=164&amp;organOfOriginKey=64&amp;tumorFrequencyKeys=74719,74720,74721,75062,75063,75064,75401,75402,75403,75791,75792,75793" xr:uid="{00000000-0004-0000-0200-000071000000}"/>
    <hyperlink ref="D101" r:id="rId115" display="http://tumor.informatics.jax.org/mtbwi/tumorSummary.do?strainKey=164&amp;organOfOriginKey=64&amp;tumorFrequencyKeys=74722,74723,74724,75065,75066,75067,75404,75405,75406,75794,75795,75796" xr:uid="{00000000-0004-0000-0200-000072000000}"/>
    <hyperlink ref="D102" r:id="rId116" display="http://tumor.informatics.jax.org/mtbwi/tumorSummary.do?strainKey=164&amp;organOfOriginKey=246&amp;tumorFrequencyKeys=75004,75005,75006,75337,75338,75339,75727,75728,75729,76138,76139,76140" xr:uid="{00000000-0004-0000-0200-000073000000}"/>
    <hyperlink ref="D103" r:id="rId117" display="http://tumor.informatics.jax.org/mtbwi/tumorSummary.do?strainKey=164&amp;organOfOriginKey=246&amp;tumorFrequencyKeys=75007,75008,75009,75340,75341,75342,75730,75731,75732,76141,76142,76143" xr:uid="{00000000-0004-0000-0200-000074000000}"/>
    <hyperlink ref="D105" r:id="rId118" display="http://tumor.informatics.jax.org/mtbwi/tumorSummary.do?strainKey=164&amp;organOfOriginKey=36&amp;tumorFrequencyKeys=75010,75011,75012,75343,75733,76144" xr:uid="{00000000-0004-0000-0200-000075000000}"/>
    <hyperlink ref="D106" r:id="rId119" display="http://tumor.informatics.jax.org/mtbwi/tumorSummary.do?strainKey=164&amp;organOfOriginKey=85&amp;tumorFrequencyKeys=44337,44389" xr:uid="{00000000-0004-0000-0200-000076000000}"/>
    <hyperlink ref="D108" r:id="rId120" display="http://tumor.informatics.jax.org/mtbwi/tumorSummary.do?strainKey=164&amp;organOfOriginKey=131&amp;tumorFrequencyKeys=10936,10937,44336,44388,74830,74831,74832,75157,75158,75159,75508,75509,75510,75890,75891,75892" xr:uid="{00000000-0004-0000-0200-000077000000}"/>
    <hyperlink ref="D109" r:id="rId121" display="http://tumor.informatics.jax.org/mtbwi/tumorSummary.do?strainKey=164&amp;organOfOriginKey=131&amp;tumorFrequencyKeys=37626,37627" xr:uid="{00000000-0004-0000-0200-000078000000}"/>
    <hyperlink ref="D110" r:id="rId122" display="http://tumor.informatics.jax.org/mtbwi/tumorSummary.do?strainKey=164&amp;organOfOriginKey=131&amp;tumorFrequencyKeys=74691,75040,75381,75761,75762,75763" xr:uid="{00000000-0004-0000-0200-000079000000}"/>
    <hyperlink ref="D111" r:id="rId123" display="http://tumor.informatics.jax.org/mtbwi/tumorSummary.do?strainKey=164&amp;organOfOriginKey=131&amp;tumorFrequencyKeys=74751,75088,75089,75090,75429,75430,75431,75815" xr:uid="{00000000-0004-0000-0200-00007A000000}"/>
    <hyperlink ref="D112" r:id="rId124" display="http://tumor.informatics.jax.org/mtbwi/tumorSummary.do?strainKey=164&amp;organOfOriginKey=131&amp;tumorFrequencyKeys=74774,75109,75446,75447,75448,75832" xr:uid="{00000000-0004-0000-0200-00007B000000}"/>
    <hyperlink ref="D113" r:id="rId125" display="http://tumor.informatics.jax.org/mtbwi/tumorSummary.do?strainKey=164&amp;organOfOriginKey=131&amp;tumorFrequencyKeys=74776,75111,75450,75451,75452,75836" xr:uid="{00000000-0004-0000-0200-00007C000000}"/>
    <hyperlink ref="D114" r:id="rId126" display="http://tumor.informatics.jax.org/mtbwi/tumorSummary.do?strainKey=164&amp;organOfOriginKey=131&amp;tumorFrequencyKeys=74849,75178,75523,75524,75525,75909" xr:uid="{00000000-0004-0000-0200-00007D000000}"/>
    <hyperlink ref="D115" r:id="rId127" display="http://tumor.informatics.jax.org/mtbwi/tumorSummary.do?strainKey=164&amp;organOfOriginKey=131&amp;tumorFrequencyKeys=74852,75183,75528,75529,75530,75914" xr:uid="{00000000-0004-0000-0200-00007E000000}"/>
    <hyperlink ref="D116" r:id="rId128" display="http://tumor.informatics.jax.org/mtbwi/tumorSummary.do?strainKey=164&amp;organOfOriginKey=131&amp;tumorFrequencyKeys=74870,75199,75548,75940,75941,75942" xr:uid="{00000000-0004-0000-0200-00007F000000}"/>
    <hyperlink ref="D117" r:id="rId129" display="http://tumor.informatics.jax.org/mtbwi/tumorSummary.do?strainKey=164&amp;organOfOriginKey=131&amp;tumorFrequencyKeys=74913,74914,74915,75234,75235,75236,75587,75976" xr:uid="{00000000-0004-0000-0200-000080000000}"/>
    <hyperlink ref="D118" r:id="rId130" display="http://tumor.informatics.jax.org/mtbwi/tumorSummary.do?strainKey=164&amp;organOfOriginKey=131&amp;tumorFrequencyKeys=74960,75275,75276,75277" xr:uid="{00000000-0004-0000-0200-000081000000}"/>
    <hyperlink ref="D119" r:id="rId131" display="http://tumor.informatics.jax.org/mtbwi/tumorSummary.do?strainKey=164&amp;organOfOriginKey=131&amp;tumorFrequencyKeys=74976,75293,75701,75702,75703,76094" xr:uid="{00000000-0004-0000-0200-000082000000}"/>
    <hyperlink ref="D120" r:id="rId132" display="http://tumor.informatics.jax.org/mtbwi/tumorSummary.do?strainKey=164&amp;organOfOriginKey=131&amp;tumorFrequencyKeys=74991,75304,75710,75711,75712,76114" xr:uid="{00000000-0004-0000-0200-000083000000}"/>
    <hyperlink ref="D121" r:id="rId133" display="http://tumor.informatics.jax.org/mtbwi/tumorSummary.do?strainKey=164&amp;organOfOriginKey=131&amp;tumorFrequencyKeys=75650,76039,76040,76041" xr:uid="{00000000-0004-0000-0200-000084000000}"/>
    <hyperlink ref="D122" r:id="rId134" display="http://tumor.informatics.jax.org/mtbwi/tumorSummary.do?strainKey=164&amp;organOfOriginKey=131&amp;tumorFrequencyKeys=75678,75679,75680,76073" xr:uid="{00000000-0004-0000-0200-000085000000}"/>
    <hyperlink ref="D123" r:id="rId135" display="http://tumor.informatics.jax.org/mtbwi/tumorSummary.do?strainKey=164&amp;organOfOriginKey=75&amp;tumorFrequencyKeys=74710,74711,74712,75053,75394,75784" xr:uid="{00000000-0004-0000-0200-000086000000}"/>
    <hyperlink ref="D124" r:id="rId136" display="http://tumor.informatics.jax.org/mtbwi/tumorSummary.do?strainKey=164&amp;organOfOriginKey=75&amp;tumorFrequencyKeys=74837,74838,74839,75164,75165,75166,75517,75897,75898,75899" xr:uid="{00000000-0004-0000-0200-000087000000}"/>
    <hyperlink ref="D125" r:id="rId137" display="http://tumor.informatics.jax.org/mtbwi/tumorSummary.do?strainKey=164&amp;organOfOriginKey=75&amp;tumorFrequencyKeys=74840,74841,74842,75167,75518,75900,75901,75902" xr:uid="{00000000-0004-0000-0200-000088000000}"/>
    <hyperlink ref="D126" r:id="rId138" display="http://tumor.informatics.jax.org/mtbwi/tumorSummary.do?strainKey=164&amp;organOfOriginKey=75&amp;tumorFrequencyKeys=74864,74865,74866,75193,75542,75930,75931,75932" xr:uid="{00000000-0004-0000-0200-000089000000}"/>
    <hyperlink ref="D127" r:id="rId139" display="http://tumor.informatics.jax.org/mtbwi/tumorSummary.do?strainKey=164&amp;organOfOriginKey=75&amp;tumorFrequencyKeys=74869,75198,75547,75937,75938,75939" xr:uid="{00000000-0004-0000-0200-00008A000000}"/>
    <hyperlink ref="D128" r:id="rId140" display="http://tumor.informatics.jax.org/mtbwi/tumorSummary.do?strainKey=164&amp;organOfOriginKey=75&amp;tumorFrequencyKeys=74894,74895,74896,75217,75572,75963" xr:uid="{00000000-0004-0000-0200-00008B000000}"/>
    <hyperlink ref="D129" r:id="rId141" display="http://tumor.informatics.jax.org/mtbwi/tumorSummary.do?strainKey=164&amp;organOfOriginKey=75&amp;tumorFrequencyKeys=74977,75294,75704,76095,76096,76097" xr:uid="{00000000-0004-0000-0200-00008C000000}"/>
    <hyperlink ref="D130" r:id="rId142" display="http://tumor.informatics.jax.org/mtbwi/tumorSummary.do?strainKey=164&amp;organOfOriginKey=3&amp;tumorFrequencyKeys=74826,75153,75502,75503,75504,75886,80271,80447" xr:uid="{00000000-0004-0000-0200-00008D000000}"/>
    <hyperlink ref="D132" r:id="rId143" display="http://tumor.informatics.jax.org/mtbwi/tumorSummary.do?strainKey=164&amp;organOfOriginKey=3&amp;tumorFrequencyKeys=10921,10926,74827,74828,74829,75154,75155,75156,75505,75506,75507,75887,75888,75889,80272,80360,80361,80362,80363,80364,80365,80366,80367,80368,80369,80370,80371,80372,80373,80374,80448,80675,80676,80677,80678,80679,80680,80681,80682,80683,80684,80685,80686,80687,80688,80689,85007" xr:uid="{00000000-0004-0000-0200-00008E000000}"/>
    <hyperlink ref="D133" r:id="rId144" display="http://tumor.informatics.jax.org/mtbwi/tumorSummary.do?strainKey=164&amp;organOfOriginKey=3&amp;tumorFrequencyKeys=37624,37625" xr:uid="{00000000-0004-0000-0200-00008F000000}"/>
    <hyperlink ref="D134" r:id="rId145" display="http://tumor.informatics.jax.org/mtbwi/tumorSummary.do?strainKey=164&amp;organOfOriginKey=3&amp;tumorFrequencyKeys=44334,44385" xr:uid="{00000000-0004-0000-0200-000090000000}"/>
    <hyperlink ref="D135" r:id="rId146" display="http://tumor.informatics.jax.org/mtbwi/tumorSummary.do?strainKey=164&amp;organOfOriginKey=3&amp;tumorFrequencyKeys=44335,44386" xr:uid="{00000000-0004-0000-0200-000091000000}"/>
    <hyperlink ref="D136" r:id="rId147" display="http://tumor.informatics.jax.org/mtbwi/tumorSummary.do?strainKey=164&amp;organOfOriginKey=3&amp;tumorFrequencyKeys=44338,44390" xr:uid="{00000000-0004-0000-0200-000092000000}"/>
    <hyperlink ref="D137" r:id="rId148" display="http://tumor.informatics.jax.org/mtbwi/tumorSummary.do?strainKey=164&amp;organOfOriginKey=3&amp;tumorFrequencyKeys=80273,80449" xr:uid="{00000000-0004-0000-0200-000093000000}"/>
    <hyperlink ref="D138" r:id="rId149" display="http://tumor.informatics.jax.org/mtbwi/tumorSummary.do?strainKey=164&amp;organOfOriginKey=113&amp;tumorFrequencyKeys=74744,74745,74746,75081,75422,75810" xr:uid="{00000000-0004-0000-0200-000094000000}"/>
    <hyperlink ref="D139" r:id="rId150" display="http://tumor.informatics.jax.org/mtbwi/tumorSummary.do?strainKey=164&amp;organOfOriginKey=113&amp;tumorFrequencyKeys=30495" xr:uid="{00000000-0004-0000-0200-000095000000}"/>
    <hyperlink ref="D140" r:id="rId151" display="http://tumor.informatics.jax.org/mtbwi/tumorSummary.do?strainKey=164&amp;organOfOriginKey=113&amp;tumorFrequencyKeys=30469,30489" xr:uid="{00000000-0004-0000-0200-000096000000}"/>
    <hyperlink ref="D141" r:id="rId152" display="http://tumor.informatics.jax.org/mtbwi/tumorSummary.do?strainKey=164&amp;organOfOriginKey=8&amp;tumorFrequencyKeys=10994" xr:uid="{00000000-0004-0000-0200-000097000000}"/>
    <hyperlink ref="D142" r:id="rId153" display="http://tumor.informatics.jax.org/mtbwi/tumorSummary.do?strainKey=164&amp;organOfOriginKey=271&amp;tumorFrequencyKeys=74752,74753,74754,75091,75092,75093,75432,75816" xr:uid="{00000000-0004-0000-0200-000098000000}"/>
    <hyperlink ref="D143" r:id="rId154" display="http://tumor.informatics.jax.org/mtbwi/tumorSummary.do?strainKey=164&amp;organOfOriginKey=26&amp;tumorFrequencyKeys=74735,74736,74737,75072,75073,75074,75413,75414,75415,75801,75802,75803,80390,80391,80392,80393,80394,80395,80396,80397,80398,80399,80400,80401,80402,80403,80404,80705,80706,80707,80708,80709,80710,80711,80712,80713,80714,80715,80716,80717,80718,80719,85005" xr:uid="{00000000-0004-0000-0200-000099000000}"/>
    <hyperlink ref="D144" r:id="rId155" display="http://tumor.informatics.jax.org/mtbwi/tumorSummary.do?strainKey=164&amp;organOfOriginKey=26&amp;tumorFrequencyKeys=74738,74739,74740,75075,75076,75077,75416,75417,75418,75804,75805,75806,80254,80405,80406,80407,80408,80409,80410,80411,80412,80413,80414,80415,80416,80417,80418,80419,80430,80720,80721,80722,80723,80724,80725,80726,80727,80728,80729,80730,80731,80732,80733,80734,85006" xr:uid="{00000000-0004-0000-0200-00009A000000}"/>
    <hyperlink ref="D145" r:id="rId156" display="http://tumor.informatics.jax.org/mtbwi/tumorSummary.do?strainKey=164&amp;organOfOriginKey=26&amp;tumorFrequencyKeys=11279" xr:uid="{00000000-0004-0000-0200-00009B000000}"/>
    <hyperlink ref="D146" r:id="rId157" display="http://tumor.informatics.jax.org/mtbwi/tumorSummary.do?strainKey=164&amp;organOfOriginKey=26&amp;tumorFrequencyKeys=28927,28931,28935,28939,74750,75085,75086,75087,75426,75427,75428,75814" xr:uid="{00000000-0004-0000-0200-00009C000000}"/>
    <hyperlink ref="D148" r:id="rId158" display="http://tumor.informatics.jax.org/mtbwi/tumorSummary.do?strainKey=164&amp;organOfOriginKey=26&amp;tumorFrequencyKeys=11282,30706,30726,44328,44365" xr:uid="{00000000-0004-0000-0200-00009D000000}"/>
    <hyperlink ref="D150" r:id="rId159" display="http://tumor.informatics.jax.org/mtbwi/tumorSummary.do?strainKey=164&amp;organOfOriginKey=26&amp;tumorFrequencyKeys=10995,11286,44329,44330,44366,44367" xr:uid="{00000000-0004-0000-0200-00009E000000}"/>
    <hyperlink ref="D152" r:id="rId160" display="http://tumor.informatics.jax.org/mtbwi/tumorSummary.do?strainKey=164&amp;organOfOriginKey=26&amp;tumorFrequencyKeys=30471,30492,30707,30727" xr:uid="{00000000-0004-0000-0200-00009F000000}"/>
    <hyperlink ref="D153" r:id="rId161" display="http://tumor.informatics.jax.org/mtbwi/tumorSummary.do?strainKey=164&amp;organOfOriginKey=26&amp;tumorFrequencyKeys=74747,74748,74749,75082,75083,75084,75423,75424,75425,75811,75812,75813" xr:uid="{00000000-0004-0000-0200-0000A0000000}"/>
    <hyperlink ref="D154" r:id="rId162" display="http://tumor.informatics.jax.org/mtbwi/tumorSummary.do?strainKey=164&amp;organOfOriginKey=26&amp;tumorFrequencyKeys=80255,80431" xr:uid="{00000000-0004-0000-0200-0000A1000000}"/>
    <hyperlink ref="D155" r:id="rId163" display="http://tumor.informatics.jax.org/mtbwi/tumorSummary.do?strainKey=164&amp;organOfOriginKey=26&amp;tumorFrequencyKeys=80253,80429" xr:uid="{00000000-0004-0000-0200-0000A2000000}"/>
    <hyperlink ref="D156" r:id="rId164" display="http://tumor.informatics.jax.org/mtbwi/tumorSummary.do?strainKey=164&amp;organOfOriginKey=26&amp;tumorFrequencyKeys=10919,10932,30206,74741,74742,74743,75078,75079,75080,75419,75420,75421,75807,75808,75809" xr:uid="{00000000-0004-0000-0200-0000A3000000}"/>
    <hyperlink ref="D157" r:id="rId165" display="http://tumor.informatics.jax.org/mtbwi/tumorSummary.do?strainKey=164&amp;organOfOriginKey=4&amp;tumorFrequencyKeys=5907" xr:uid="{00000000-0004-0000-0200-0000A4000000}"/>
    <hyperlink ref="D159" r:id="rId166" display="http://tumor.informatics.jax.org/mtbwi/tumorSummary.do?strainKey=164&amp;organOfOriginKey=4&amp;tumorFrequencyKeys=30493,37257,37258,44323,44358,74967,74968,74969,75284,75285,75286,75692,75693,75694,76084,76086,76087,80291,80640" xr:uid="{00000000-0004-0000-0200-0000A5000000}"/>
    <hyperlink ref="D161" r:id="rId167" display="http://tumor.informatics.jax.org/mtbwi/tumorSummary.do?strainKey=164&amp;organOfOriginKey=4&amp;tumorFrequencyKeys=30496,37259,37260,44324,44359,74970,74971,74972,75287,75288,75289,75695,75696,75697,76088,76089,76090,80292,80641" xr:uid="{00000000-0004-0000-0200-0000A6000000}"/>
    <hyperlink ref="D164" r:id="rId168" display="http://tumor.informatics.jax.org/mtbwi/tumorSummary.do?strainKey=164&amp;organOfOriginKey=4&amp;tumorFrequencyKeys=37537" xr:uid="{00000000-0004-0000-0200-0000A7000000}"/>
    <hyperlink ref="D165" r:id="rId169" display="http://tumor.informatics.jax.org/mtbwi/tumorSummary.do?strainKey=164&amp;organOfOriginKey=4&amp;tumorFrequencyKeys=37538" xr:uid="{00000000-0004-0000-0200-0000A8000000}"/>
    <hyperlink ref="D166" r:id="rId170" display="http://tumor.informatics.jax.org/mtbwi/tumorSummary.do?strainKey=164&amp;organOfOriginKey=4&amp;tumorFrequencyKeys=10918,10924,30472,30494,37547,74973,74974,74975,75290,75291,75292,75698,75699,75700,76091,76092,76093,80312,80313,80314,80315,80316,80317,80318,80319,80320,80321,80322,80323,80324,80325,80326,80327,80328,80329,80330,80331,80332,80333,80334,80335,80336,80337,80338,80339,80340,80341,80342,80343,80344,80345,80346,80347,80348,80349,80350,80351,80352,80353,80354,80355,80356,80357,80358,80359,80660,80661,80662,80663,80664,80665,80666,80667,80668,80669,80670,80671,80672,80673,80674" xr:uid="{00000000-0004-0000-0200-0000A9000000}"/>
    <hyperlink ref="D167" r:id="rId171" display="http://tumor.informatics.jax.org/mtbwi/tumorSummary.do?strainKey=164&amp;organOfOriginKey=342&amp;tumorFrequencyKeys=30728" xr:uid="{00000000-0004-0000-0200-0000AA000000}"/>
    <hyperlink ref="D169" r:id="rId172" display="http://tumor.informatics.jax.org/mtbwi/tumorSummary.do?strainKey=164&amp;organOfOriginKey=5&amp;tumorFrequencyKeys=44333,44384,80286,80633" xr:uid="{00000000-0004-0000-0200-0000AB000000}"/>
    <hyperlink ref="D170" r:id="rId173" display="http://tumor.informatics.jax.org/mtbwi/tumorSummary.do?strainKey=164&amp;organOfOriginKey=5&amp;tumorFrequencyKeys=44332,44383,74938,75253,75610,75611,75612,75995" xr:uid="{00000000-0004-0000-0200-0000AC000000}"/>
    <hyperlink ref="D171" r:id="rId174" display="http://tumor.informatics.jax.org/mtbwi/tumorSummary.do?strainKey=164&amp;organOfOriginKey=5&amp;tumorFrequencyKeys=74940,75255,75616,75617,75618,75999,76000,76001" xr:uid="{00000000-0004-0000-0200-0000AD000000}"/>
    <hyperlink ref="D172" r:id="rId175" display="http://tumor.informatics.jax.org/mtbwi/tumorSummary.do?strainKey=164&amp;organOfOriginKey=5&amp;tumorFrequencyKeys=74939,75254,75613,75614,75615,75996,75997,75998,80285,80632" xr:uid="{00000000-0004-0000-0200-0000AE000000}"/>
    <hyperlink ref="D173" r:id="rId176" display="http://tumor.informatics.jax.org/mtbwi/tumorSummary.do?strainKey=164&amp;organOfOriginKey=2&amp;tumorFrequencyKeys=74916,75237,75588,75589,75590,75977" xr:uid="{00000000-0004-0000-0200-0000AF000000}"/>
    <hyperlink ref="D174" r:id="rId177" display="http://tumor.informatics.jax.org/mtbwi/tumorSummary.do?strainKey=164&amp;organOfOriginKey=2&amp;tumorFrequencyKeys=74718,75061,75400,75788,75789,75790" xr:uid="{00000000-0004-0000-0200-0000B0000000}"/>
    <hyperlink ref="D175" r:id="rId178" display="http://tumor.informatics.jax.org/mtbwi/tumorSummary.do?strainKey=164&amp;organOfOriginKey=2&amp;tumorFrequencyKeys=74755,74756,74757,75094,75433,75817,75818,75819" xr:uid="{00000000-0004-0000-0200-0000B1000000}"/>
    <hyperlink ref="D176" r:id="rId179" display="http://tumor.informatics.jax.org/mtbwi/tumorSummary.do?strainKey=164&amp;organOfOriginKey=2&amp;tumorFrequencyKeys=74767,74768,74769,75102,75441,75827" xr:uid="{00000000-0004-0000-0200-0000B2000000}"/>
    <hyperlink ref="D177" r:id="rId180" display="http://tumor.informatics.jax.org/mtbwi/tumorSummary.do?strainKey=164&amp;organOfOriginKey=2&amp;tumorFrequencyKeys=74784,74785,74786,75117,75462,75463,75464,75842,75843,75844" xr:uid="{00000000-0004-0000-0200-0000B3000000}"/>
    <hyperlink ref="D178" r:id="rId181" display="http://tumor.informatics.jax.org/mtbwi/tumorSummary.do?strainKey=164&amp;organOfOriginKey=2&amp;tumorFrequencyKeys=74848,75175,75176,75177,75522,75908" xr:uid="{00000000-0004-0000-0200-0000B4000000}"/>
    <hyperlink ref="D179" r:id="rId182" display="http://tumor.informatics.jax.org/mtbwi/tumorSummary.do?strainKey=164&amp;organOfOriginKey=2&amp;tumorFrequencyKeys=74853,75184,75531,75915,75916,75917" xr:uid="{00000000-0004-0000-0200-0000B5000000}"/>
    <hyperlink ref="D180" r:id="rId183" display="http://tumor.informatics.jax.org/mtbwi/tumorSummary.do?strainKey=164&amp;organOfOriginKey=2&amp;tumorFrequencyKeys=74861,74862,74863,75192,75541,75927,75928,75929" xr:uid="{00000000-0004-0000-0200-0000B6000000}"/>
    <hyperlink ref="D181" r:id="rId184" display="http://tumor.informatics.jax.org/mtbwi/tumorSummary.do?strainKey=164&amp;organOfOriginKey=2&amp;tumorFrequencyKeys=74906,74907,74908,75227,75228,75229,75578,75579,75580,75969,75970,75971" xr:uid="{00000000-0004-0000-0200-0000B7000000}"/>
    <hyperlink ref="D182" r:id="rId185" display="http://tumor.informatics.jax.org/mtbwi/tumorSummary.do?strainKey=164&amp;organOfOriginKey=2&amp;tumorFrequencyKeys=74931,75250,75603,75604,75605,75990" xr:uid="{00000000-0004-0000-0200-0000B8000000}"/>
    <hyperlink ref="D183" r:id="rId186" display="http://tumor.informatics.jax.org/mtbwi/tumorSummary.do?strainKey=164&amp;organOfOriginKey=2&amp;tumorFrequencyKeys=74948,75259,75260,75261" xr:uid="{00000000-0004-0000-0200-0000B9000000}"/>
    <hyperlink ref="D184" r:id="rId187" display="http://tumor.informatics.jax.org/mtbwi/tumorSummary.do?strainKey=164&amp;organOfOriginKey=2&amp;tumorFrequencyKeys=74957,74958,74959,75272,75273,75274" xr:uid="{00000000-0004-0000-0200-0000BA000000}"/>
    <hyperlink ref="D185" r:id="rId188" display="http://tumor.informatics.jax.org/mtbwi/tumorSummary.do?strainKey=164&amp;organOfOriginKey=2&amp;tumorFrequencyKeys=74965,75280,75281,75282,75690,76080" xr:uid="{00000000-0004-0000-0200-0000BB000000}"/>
    <hyperlink ref="D186" r:id="rId189" display="http://tumor.informatics.jax.org/mtbwi/tumorSummary.do?strainKey=164&amp;organOfOriginKey=2&amp;tumorFrequencyKeys=74988,74989,74990,75303,75709,76113" xr:uid="{00000000-0004-0000-0200-0000BC000000}"/>
    <hyperlink ref="D187" r:id="rId190" display="http://tumor.informatics.jax.org/mtbwi/tumorSummary.do?strainKey=164&amp;organOfOriginKey=2&amp;tumorFrequencyKeys=74994,75307,75308,75309,75715,76128" xr:uid="{00000000-0004-0000-0200-0000BD000000}"/>
    <hyperlink ref="D188" r:id="rId191" display="http://tumor.informatics.jax.org/mtbwi/tumorSummary.do?strainKey=164&amp;organOfOriginKey=2&amp;tumorFrequencyKeys=75001,75316,75317,75318,75722,76135" xr:uid="{00000000-0004-0000-0200-0000BE000000}"/>
    <hyperlink ref="D189" r:id="rId192" display="http://tumor.informatics.jax.org/mtbwi/tumorSummary.do?strainKey=164&amp;organOfOriginKey=2&amp;tumorFrequencyKeys=75022,75357,75358,75359,75741,76150" xr:uid="{00000000-0004-0000-0200-0000BF000000}"/>
    <hyperlink ref="D190" r:id="rId193" display="http://tumor.informatics.jax.org/mtbwi/tumorSummary.do?strainKey=164&amp;organOfOriginKey=2&amp;tumorFrequencyKeys=75648,76033,76034,76035" xr:uid="{00000000-0004-0000-0200-0000C0000000}"/>
    <hyperlink ref="D191" r:id="rId194" display="http://tumor.informatics.jax.org/mtbwi/tumorSummary.do?strainKey=164&amp;organOfOriginKey=2&amp;tumorFrequencyKeys=80637" xr:uid="{00000000-0004-0000-0200-0000C1000000}"/>
    <hyperlink ref="D192" r:id="rId195" display="http://tumor.informatics.jax.org/mtbwi/tumorSummary.do?strainKey=164&amp;organOfOriginKey=2&amp;tumorFrequencyKeys=75645,75646,75647,76030,76031,76032" xr:uid="{00000000-0004-0000-0200-0000C2000000}"/>
    <hyperlink ref="D193" r:id="rId196" display="http://tumor.informatics.jax.org/mtbwi/tumorSummary.do?strainKey=164&amp;organOfOriginKey=2&amp;tumorFrequencyKeys=80276,80452" xr:uid="{00000000-0004-0000-0200-0000C3000000}"/>
    <hyperlink ref="D194" r:id="rId197" display="http://tumor.informatics.jax.org/mtbwi/tumorSummary.do?strainKey=164&amp;organOfOriginKey=153&amp;tumorFrequencyKeys=37543" xr:uid="{00000000-0004-0000-0200-0000C4000000}"/>
    <hyperlink ref="D197" r:id="rId198" display="http://tumor.informatics.jax.org/mtbwi/tumorSummary.do?strainKey=164&amp;organOfOriginKey=153&amp;tumorFrequencyKeys=37544" xr:uid="{00000000-0004-0000-0200-0000C5000000}"/>
    <hyperlink ref="D195" r:id="rId199" display="http://tumor.informatics.jax.org/mtbwi/tumorSummary.do?strainKey=164&amp;organOfOriginKey=153&amp;tumorFrequencyKeys=80295" xr:uid="{00000000-0004-0000-0200-0000C6000000}"/>
    <hyperlink ref="D196" r:id="rId200" display="http://tumor.informatics.jax.org/mtbwi/tumorSummary.do?strainKey=164&amp;organOfOriginKey=153&amp;tumorFrequencyKeys=80296,80644" xr:uid="{00000000-0004-0000-0200-0000C7000000}"/>
    <hyperlink ref="D198" r:id="rId201" display="http://tumor.informatics.jax.org/mtbwi/tumorSummary.do?strainKey=164&amp;organOfOriginKey=97&amp;tumorFrequencyKeys=44325,44360" xr:uid="{00000000-0004-0000-0200-0000C8000000}"/>
    <hyperlink ref="D199" r:id="rId202" display="http://tumor.informatics.jax.org/mtbwi/tumorSummary.do?strainKey=164&amp;organOfOriginKey=97&amp;tumorFrequencyKeys=44326,44361" xr:uid="{00000000-0004-0000-0200-0000C9000000}"/>
    <hyperlink ref="D200" r:id="rId203" display="http://tumor.informatics.jax.org/mtbwi/tumorSummary.do?strainKey=164&amp;organOfOriginKey=97&amp;tumorFrequencyKeys=44327,44362" xr:uid="{00000000-0004-0000-0200-0000CA000000}"/>
    <hyperlink ref="D201" r:id="rId204" display="http://tumor.informatics.jax.org/mtbwi/tumorSummary.do?strainKey=164&amp;organOfOriginKey=97&amp;tumorFrequencyKeys=44374,75636,75637,75638,76017,76018,76019" xr:uid="{00000000-0004-0000-0200-0000CB000000}"/>
    <hyperlink ref="D202" r:id="rId205" display="http://tumor.informatics.jax.org/mtbwi/tumorSummary.do?strainKey=164&amp;organOfOriginKey=97&amp;tumorFrequencyKeys=44382" xr:uid="{00000000-0004-0000-0200-0000CC000000}"/>
    <hyperlink ref="D203" r:id="rId206" display="http://tumor.informatics.jax.org/mtbwi/tumorSummary.do?strainKey=164&amp;organOfOriginKey=97&amp;tumorFrequencyKeys=74709,75052,75393,75781,75782,75783" xr:uid="{00000000-0004-0000-0200-0000CD000000}"/>
    <hyperlink ref="D204" r:id="rId207" display="http://tumor.informatics.jax.org/mtbwi/tumorSummary.do?strainKey=164&amp;organOfOriginKey=97&amp;tumorFrequencyKeys=74731,75070,75409,75410,75411,75799" xr:uid="{00000000-0004-0000-0200-0000CE000000}"/>
    <hyperlink ref="D205" r:id="rId208" display="http://tumor.informatics.jax.org/mtbwi/tumorSummary.do?strainKey=164&amp;organOfOriginKey=97&amp;tumorFrequencyKeys=75023,75360,75361,75362,75742,76151" xr:uid="{00000000-0004-0000-0200-0000CF000000}"/>
    <hyperlink ref="D206" r:id="rId209" display="http://tumor.informatics.jax.org/mtbwi/tumorSummary.do?strainKey=164&amp;organOfOriginKey=97&amp;tumorFrequencyKeys=75623,76006,76007,76008" xr:uid="{00000000-0004-0000-0200-0000D0000000}"/>
    <hyperlink ref="D207" r:id="rId210" display="http://tumor.informatics.jax.org/mtbwi/tumorSummary.do?strainKey=164&amp;organOfOriginKey=97&amp;tumorFrequencyKeys=75639,75640,75641,76020,76021,76022" xr:uid="{00000000-0004-0000-0200-0000D1000000}"/>
    <hyperlink ref="D208" r:id="rId211" display="http://tumor.informatics.jax.org/mtbwi/tumorSummary.do?strainKey=164&amp;organOfOriginKey=37&amp;tumorFrequencyKeys=74930,75249,75602,75987,75988,75989,80283,80630" xr:uid="{00000000-0004-0000-0200-0000D2000000}"/>
    <hyperlink ref="D209" r:id="rId212" display="http://tumor.informatics.jax.org/mtbwi/tumorSummary.do?strainKey=164&amp;organOfOriginKey=155&amp;tumorFrequencyKeys=74964,75279,75687,75688,75689,76079" xr:uid="{00000000-0004-0000-0200-0000D3000000}"/>
    <hyperlink ref="D210" r:id="rId213" display="http://tumor.informatics.jax.org/mtbwi/tumorSummary.do?strainKey=164&amp;organOfOriginKey=14&amp;tumorFrequencyKeys=74699,74700,74701,75046,75385,75773" xr:uid="{00000000-0004-0000-0200-0000D4000000}"/>
    <hyperlink ref="D211" r:id="rId214" display="http://tumor.informatics.jax.org/mtbwi/tumorSummary.do?strainKey=164&amp;organOfOriginKey=14&amp;tumorFrequencyKeys=74696,74697,74698,75045,75384,75770,75771,75772" xr:uid="{00000000-0004-0000-0200-0000D5000000}"/>
    <hyperlink ref="D212" r:id="rId215" display="http://tumor.informatics.jax.org/mtbwi/tumorSummary.do?strainKey=164&amp;organOfOriginKey=89&amp;tumorFrequencyKeys=44380,75674,75675,75676,76067,76068,76069" xr:uid="{00000000-0004-0000-0200-0000D6000000}"/>
    <hyperlink ref="D215" r:id="rId216" display="http://tumor.informatics.jax.org/mtbwi/tumorSummary.do?strainKey=164&amp;organOfOriginKey=80&amp;tumorFrequencyKeys=80638" xr:uid="{00000000-0004-0000-0200-0000D7000000}"/>
    <hyperlink ref="D216" r:id="rId217" display="http://tumor.informatics.jax.org/mtbwi/tumorSummary.do?strainKey=164&amp;organOfOriginKey=80&amp;tumorFrequencyKeys=75662,75663,75664,76057,76058,76059" xr:uid="{00000000-0004-0000-0200-0000D8000000}"/>
    <hyperlink ref="D219" r:id="rId218" display="http://tumor.informatics.jax.org/mtbwi/tumorSummary.do?strainKey=164&amp;organOfOriginKey=168&amp;tumorFrequencyKeys=75671,75672,75673,76064,76065,76066" xr:uid="{00000000-0004-0000-0200-0000D9000000}"/>
    <hyperlink ref="D220" r:id="rId219" display="http://tumor.informatics.jax.org/mtbwi/tumorSummary.do?strainKey=164&amp;organOfOriginKey=60&amp;tumorFrequencyKeys=80639" xr:uid="{00000000-0004-0000-0200-0000DA000000}"/>
    <hyperlink ref="D221" r:id="rId220" display="http://tumor.informatics.jax.org/mtbwi/tumorSummary.do?strainKey=164&amp;organOfOriginKey=60&amp;tumorFrequencyKeys=75661,76054,76055,76056" xr:uid="{00000000-0004-0000-0200-0000DB000000}"/>
    <hyperlink ref="D222" r:id="rId221" display="http://tumor.informatics.jax.org/mtbwi/tumorSummary.do?strainKey=164&amp;organOfOriginKey=60&amp;tumorFrequencyKeys=75677,76070,76071,76072" xr:uid="{00000000-0004-0000-0200-0000DC000000}"/>
    <hyperlink ref="D223" r:id="rId222" display="http://tumor.informatics.jax.org/mtbwi/tumorSummary.do?strainKey=164&amp;organOfOriginKey=60&amp;tumorFrequencyKeys=75660,76051,76052,76053" xr:uid="{00000000-0004-0000-0200-0000DD000000}"/>
    <hyperlink ref="D224" r:id="rId223" display="http://tumor.informatics.jax.org/mtbwi/tumorSummary.do?strainKey=164&amp;organOfOriginKey=60&amp;tumorFrequencyKeys=75657,75658,75659,76048,76049,76050" xr:uid="{00000000-0004-0000-0200-0000DE000000}"/>
    <hyperlink ref="D225" r:id="rId224" display="http://tumor.informatics.jax.org/mtbwi/tumorSummary.do?strainKey=164&amp;organOfOriginKey=60&amp;tumorFrequencyKeys=75668,75669,75670,76061,76062,76063" xr:uid="{00000000-0004-0000-0200-0000DF000000}"/>
    <hyperlink ref="D226" r:id="rId225" display="http://tumor.informatics.jax.org/mtbwi/tumorSummary.do?strainKey=164&amp;organOfOriginKey=60&amp;tumorFrequencyKeys=75665,75666,75667,76060" xr:uid="{00000000-0004-0000-0200-0000E0000000}"/>
    <hyperlink ref="D239" r:id="rId226" display="http://tumor.informatics.jax.org/mtbwi/tumorSummary.do?strainKey=164&amp;organOfOriginKey=118&amp;tumorFrequencyKeys=44350,44402" xr:uid="{00000000-0004-0000-0200-0000E1000000}"/>
    <hyperlink ref="D240" r:id="rId227" display="http://tumor.informatics.jax.org/mtbwi/tumorSummary.do?strainKey=164&amp;organOfOriginKey=118&amp;tumorFrequencyKeys=80274,80450" xr:uid="{00000000-0004-0000-0200-0000E2000000}"/>
    <hyperlink ref="D241" r:id="rId228" display="http://tumor.informatics.jax.org/mtbwi/tumorSummary.do?strainKey=164&amp;organOfOriginKey=118&amp;tumorFrequencyKeys=74909,74910,74911,75230,75231,75232,75581,75582,75583,75972" xr:uid="{00000000-0004-0000-0200-0000E3000000}"/>
    <hyperlink ref="D242" r:id="rId229" display="http://tumor.informatics.jax.org/mtbwi/tumorSummary.do?strainKey=164&amp;organOfOriginKey=118&amp;tumorFrequencyKeys=80275,80451" xr:uid="{00000000-0004-0000-0200-0000E4000000}"/>
    <hyperlink ref="D243" r:id="rId230" display="http://tumor.informatics.jax.org/mtbwi/tumorSummary.do?strainKey=164&amp;organOfOriginKey=118&amp;tumorFrequencyKeys=74912,75233,75584,75585,75586,75973,75974,75975" xr:uid="{00000000-0004-0000-0200-0000E5000000}"/>
    <hyperlink ref="D227" r:id="rId231" display="http://tumor.informatics.jax.org/mtbwi/tumorSummary.do?strainKey=164&amp;organOfOriginKey=105&amp;tumorFrequencyKeys=44322,44357,74797,74798,74799,75128,75129,75130,75475,75476,75477,75857,75858,75859,80269,80445" xr:uid="{00000000-0004-0000-0200-0000E6000000}"/>
    <hyperlink ref="D228" r:id="rId232" display="http://tumor.informatics.jax.org/mtbwi/tumorSummary.do?strainKey=164&amp;organOfOriginKey=105&amp;tumorFrequencyKeys=74800,74801,74802,75131,75478,75479,75480,75860,75861,75862,80270,80446" xr:uid="{00000000-0004-0000-0200-0000E7000000}"/>
    <hyperlink ref="D229" r:id="rId233" display="http://tumor.informatics.jax.org/mtbwi/tumorSummary.do?strainKey=164&amp;organOfOriginKey=28&amp;tumorFrequencyKeys=74770,75103,75104,75105,75442,75443,75444,75828,75829,75830" xr:uid="{00000000-0004-0000-0200-0000E8000000}"/>
    <hyperlink ref="D230" r:id="rId234" display="http://tumor.informatics.jax.org/mtbwi/tumorSummary.do?strainKey=164&amp;organOfOriginKey=251&amp;tumorFrequencyKeys=74813,75142,75493,75873,75874,75875" xr:uid="{00000000-0004-0000-0200-0000E9000000}"/>
    <hyperlink ref="D231" r:id="rId235" display="http://tumor.informatics.jax.org/mtbwi/tumorSummary.do?strainKey=164&amp;organOfOriginKey=122&amp;tumorFrequencyKeys=74803,74804,74805,75132,75133,75134,75481,75482,75483,75863,75864,75865" xr:uid="{00000000-0004-0000-0200-0000EA000000}"/>
    <hyperlink ref="D232" r:id="rId236" display="http://tumor.informatics.jax.org/mtbwi/tumorSummary.do?strainKey=164&amp;organOfOriginKey=122&amp;tumorFrequencyKeys=74806,75135,75136,75137,75484,75485,75486,75866,75867,75868" xr:uid="{00000000-0004-0000-0200-0000EB000000}"/>
    <hyperlink ref="D233" r:id="rId237" display="http://tumor.informatics.jax.org/mtbwi/tumorSummary.do?strainKey=164&amp;organOfOriginKey=122&amp;tumorFrequencyKeys=10925" xr:uid="{00000000-0004-0000-0200-0000EC000000}"/>
    <hyperlink ref="D234" r:id="rId238" display="http://tumor.informatics.jax.org/mtbwi/tumorSummary.do?strainKey=164&amp;organOfOriginKey=101&amp;tumorFrequencyKeys=74807,74808,74809,75138,75139,75140,75487,75488,75489,75869,75870,75871" xr:uid="{00000000-0004-0000-0200-0000ED000000}"/>
    <hyperlink ref="D235" r:id="rId239" display="http://tumor.informatics.jax.org/mtbwi/tumorSummary.do?strainKey=164&amp;organOfOriginKey=101&amp;tumorFrequencyKeys=74810,74811,74812,75141,75490,75491,75492,75872" xr:uid="{00000000-0004-0000-0200-0000EE000000}"/>
    <hyperlink ref="D236" r:id="rId240" display="http://tumor.informatics.jax.org/mtbwi/tumorSummary.do?strainKey=164&amp;organOfOriginKey=58&amp;tumorFrequencyKeys=44317,44352,80259,80420,80421,80422,80423,80424,80425,80426,80435,80735,80736,80737,80738,80739,80740,80741,80742,80743,80744,80745,80746,80747,80748,80749,85008" xr:uid="{00000000-0004-0000-0200-0000EF000000}"/>
    <hyperlink ref="D237" r:id="rId241" display="http://tumor.informatics.jax.org/mtbwi/tumorSummary.do?strainKey=164&amp;organOfOriginKey=58&amp;tumorFrequencyKeys=80260,80436,85009" xr:uid="{00000000-0004-0000-0200-0000F0000000}"/>
    <hyperlink ref="D238" r:id="rId242" display="http://tumor.informatics.jax.org/mtbwi/tumorSummary.do?strainKey=164&amp;organOfOriginKey=465&amp;tumorFrequencyKeys=75649,76036,76037,76038" xr:uid="{00000000-0004-0000-0200-0000F1000000}"/>
    <hyperlink ref="D244" r:id="rId243" display="http://tumor.informatics.jax.org/mtbwi/tumorSummary.do?strainKey=164&amp;organOfOriginKey=57&amp;tumorFrequencyKeys=80287" xr:uid="{00000000-0004-0000-0200-0000F2000000}"/>
    <hyperlink ref="D245" r:id="rId244" display="http://tumor.informatics.jax.org/mtbwi/tumorSummary.do?strainKey=164&amp;organOfOriginKey=57&amp;tumorFrequencyKeys=80288" xr:uid="{00000000-0004-0000-0200-0000F3000000}"/>
    <hyperlink ref="D246" r:id="rId245" display="http://tumor.informatics.jax.org/mtbwi/tumorSummary.do?strainKey=164&amp;organOfOriginKey=57&amp;tumorFrequencyKeys=74941,74942,74943,75256" xr:uid="{00000000-0004-0000-0200-0000F4000000}"/>
    <hyperlink ref="D248" r:id="rId246" display="http://tumor.informatics.jax.org/mtbwi/tumorSummary.do?strainKey=164&amp;organOfOriginKey=140&amp;tumorFrequencyKeys=80289" xr:uid="{00000000-0004-0000-0200-0000F5000000}"/>
    <hyperlink ref="D249" r:id="rId247" display="http://tumor.informatics.jax.org/mtbwi/tumorSummary.do?strainKey=164&amp;organOfOriginKey=11&amp;tumorFrequencyKeys=74945,74946,74947,75258" xr:uid="{00000000-0004-0000-0200-0000F6000000}"/>
    <hyperlink ref="D250" r:id="rId248" display="http://tumor.informatics.jax.org/mtbwi/tumorSummary.do?strainKey=164&amp;organOfOriginKey=50&amp;tumorFrequencyKeys=74877,74878,74879,75204,75553,75554,75555,75949" xr:uid="{00000000-0004-0000-0200-0000F7000000}"/>
    <hyperlink ref="D251" r:id="rId249" display="http://tumor.informatics.jax.org/mtbwi/tumorSummary.do?strainKey=164&amp;organOfOriginKey=50&amp;tumorFrequencyKeys=80279,80455" xr:uid="{00000000-0004-0000-0200-0000F8000000}"/>
    <hyperlink ref="D252" r:id="rId250" display="http://tumor.informatics.jax.org/mtbwi/tumorSummary.do?strainKey=164&amp;organOfOriginKey=341&amp;tumorFrequencyKeys=74882,74883,74884,75207,75558,75956" xr:uid="{00000000-0004-0000-0200-0000F9000000}"/>
    <hyperlink ref="D253" r:id="rId251" display="http://tumor.informatics.jax.org/mtbwi/tumorSummary.do?strainKey=164&amp;organOfOriginKey=45&amp;tumorFrequencyKeys=74885,74886,74887,75208,75559,75957" xr:uid="{00000000-0004-0000-0200-0000FA000000}"/>
    <hyperlink ref="D254" r:id="rId252" display="http://tumor.informatics.jax.org/mtbwi/tumorSummary.do?strainKey=164&amp;organOfOriginKey=114&amp;tumorFrequencyKeys=74888,75209,75560,75561,75562,75958" xr:uid="{00000000-0004-0000-0200-0000FB000000}"/>
    <hyperlink ref="D255" r:id="rId253" display="http://tumor.informatics.jax.org/mtbwi/tumorSummary.do?strainKey=164&amp;organOfOriginKey=114&amp;tumorFrequencyKeys=74889,75210,75563,75564,75565,75959" xr:uid="{00000000-0004-0000-0200-0000FC000000}"/>
    <hyperlink ref="D256" r:id="rId254" display="http://tumor.informatics.jax.org/mtbwi/tumorSummary.do?strainKey=164&amp;organOfOriginKey=45&amp;tumorFrequencyKeys=74881,75206,75557,75953,75954,75955,80280,80456" xr:uid="{00000000-0004-0000-0200-0000FD000000}"/>
    <hyperlink ref="D257" r:id="rId255" display="http://tumor.informatics.jax.org/mtbwi/tumorSummary.do?strainKey=164&amp;organOfOriginKey=45&amp;tumorFrequencyKeys=44346,44398,74874,74875,74876,75201,75202,75203,75552,75946,75947,75948,80278,80454" xr:uid="{00000000-0004-0000-0200-0000FE000000}"/>
    <hyperlink ref="D258" r:id="rId256" display="http://tumor.informatics.jax.org/mtbwi/tumorSummary.do?strainKey=164&amp;organOfOriginKey=45&amp;tumorFrequencyKeys=74871,74872,74873,75200,75549,75550,75551,75943,75944,75945,80277,80453" xr:uid="{00000000-0004-0000-0200-0000FF000000}"/>
    <hyperlink ref="D259" r:id="rId257" display="http://tumor.informatics.jax.org/mtbwi/tumorSummary.do?strainKey=164&amp;organOfOriginKey=45&amp;tumorFrequencyKeys=74880,75205,75556,75950,75951,75952" xr:uid="{00000000-0004-0000-0200-000000010000}"/>
    <hyperlink ref="D260" r:id="rId258" display="http://tumor.informatics.jax.org/mtbwi/tumorSummary.do?strainKey=164&amp;organOfOriginKey=16&amp;tumorFrequencyKeys=74713,74714,74715,75054,75395,75785" xr:uid="{00000000-0004-0000-0200-000001010000}"/>
    <hyperlink ref="D261" r:id="rId259" display="http://tumor.informatics.jax.org/mtbwi/tumorSummary.do?strainKey=164&amp;organOfOriginKey=16&amp;tumorFrequencyKeys=74716,75055,75056,75057,75396,75397,75398,75786" xr:uid="{00000000-0004-0000-0200-000002010000}"/>
    <hyperlink ref="D262" r:id="rId260" display="http://tumor.informatics.jax.org/mtbwi/tumorSummary.do?strainKey=164&amp;organOfOriginKey=83&amp;tumorFrequencyKeys=44331,80290" xr:uid="{00000000-0004-0000-0200-000003010000}"/>
    <hyperlink ref="D263" r:id="rId261" display="http://tumor.informatics.jax.org/mtbwi/tumorSummary.do?strainKey=164&amp;organOfOriginKey=241&amp;tumorFrequencyKeys=74952,74953,74954,75265" xr:uid="{00000000-0004-0000-0200-000004010000}"/>
    <hyperlink ref="D264" r:id="rId262" display="http://tumor.informatics.jax.org/mtbwi/tumorSummary.do?strainKey=164&amp;organOfOriginKey=39&amp;tumorFrequencyKeys=74949,74950,74951,75262,75263,75264" xr:uid="{00000000-0004-0000-0200-000005010000}"/>
    <hyperlink ref="D265" r:id="rId263" display="http://tumor.informatics.jax.org/mtbwi/tumorSummary.do?strainKey=164&amp;organOfOriginKey=6&amp;tumorFrequencyKeys=74867,75194,75543,75544,75545,75933,75934,75935" xr:uid="{00000000-0004-0000-0200-000006010000}"/>
    <hyperlink ref="D266" r:id="rId264" display="http://tumor.informatics.jax.org/mtbwi/tumorSummary.do?strainKey=164&amp;organOfOriginKey=53&amp;tumorFrequencyKeys=44318,44353,74814,74815,74816,75143,75144,75145,75494,75495,75496,75876,75877,75878,80267,80443" xr:uid="{00000000-0004-0000-0200-000007010000}"/>
    <hyperlink ref="D267" r:id="rId265" display="http://tumor.informatics.jax.org/mtbwi/tumorSummary.do?strainKey=164&amp;organOfOriginKey=53&amp;tumorFrequencyKeys=44319,44354,74817,74818,74819,75146,75147,75148,75497,75498,75499,75879,75880,75881,80268,80444" xr:uid="{00000000-0004-0000-0200-000008010000}"/>
    <hyperlink ref="D268" r:id="rId266" display="http://tumor.informatics.jax.org/mtbwi/tumorSummary.do?strainKey=164&amp;organOfOriginKey=249&amp;tumorFrequencyKeys=74820,74821,74822,75149,75150,75151,75500,75882,75883,75884,80265,80441" xr:uid="{00000000-0004-0000-0200-000009010000}"/>
    <hyperlink ref="D269" r:id="rId267" display="http://tumor.informatics.jax.org/mtbwi/tumorSummary.do?strainKey=164&amp;organOfOriginKey=249&amp;tumorFrequencyKeys=74823,74824,74825,75152,75501,75885,80266,80442" xr:uid="{00000000-0004-0000-0200-00000A010000}"/>
    <hyperlink ref="D270" r:id="rId268" display="http://tumor.informatics.jax.org/mtbwi/tumorSummary.do?strainKey=164&amp;organOfOriginKey=180&amp;tumorFrequencyKeys=74692,74693,74694,75041,75042,75043,75382,75764,75765,75766" xr:uid="{00000000-0004-0000-0200-00000B010000}"/>
    <hyperlink ref="D271" r:id="rId269" display="http://tumor.informatics.jax.org/mtbwi/tumorSummary.do?strainKey=164&amp;organOfOriginKey=94&amp;tumorFrequencyKeys=75015,75016,75017,75350,75351,75352,75736,76147" xr:uid="{00000000-0004-0000-0200-00000C010000}"/>
    <hyperlink ref="D272" r:id="rId270" display="http://tumor.informatics.jax.org/mtbwi/tumorSummary.do?strainKey=164&amp;organOfOriginKey=424&amp;tumorFrequencyKeys=44381" xr:uid="{00000000-0004-0000-0200-00000D010000}"/>
    <hyperlink ref="D273" r:id="rId271" display="http://tumor.informatics.jax.org/mtbwi/tumorSummary.do?strainKey=164&amp;organOfOriginKey=268&amp;tumorFrequencyKeys=44372,75642,75643,75644,76027,76028,76029,80636" xr:uid="{00000000-0004-0000-0200-00000E010000}"/>
    <hyperlink ref="D274" r:id="rId272" display="http://tumor.informatics.jax.org/mtbwi/tumorSummary.do?strainKey=164&amp;organOfOriginKey=66&amp;tumorFrequencyKeys=44379" xr:uid="{00000000-0004-0000-0200-00000F010000}"/>
    <hyperlink ref="D275" r:id="rId273" display="http://tumor.informatics.jax.org/mtbwi/tumorSummary.do?strainKey=164&amp;organOfOriginKey=66&amp;tumorFrequencyKeys=44377,75630,75631,75632,76011,76012,76013" xr:uid="{00000000-0004-0000-0200-000010010000}"/>
    <hyperlink ref="D276" r:id="rId274" display="http://tumor.informatics.jax.org/mtbwi/tumorSummary.do?strainKey=164&amp;organOfOriginKey=66&amp;tumorFrequencyKeys=75633,75634,75635,76014,76015,76016" xr:uid="{00000000-0004-0000-0200-000011010000}"/>
    <hyperlink ref="D277" r:id="rId275" display="http://tumor.informatics.jax.org/mtbwi/tumorSummary.do?strainKey=164&amp;organOfOriginKey=66&amp;tumorFrequencyKeys=75627,75628,75629,76010" xr:uid="{00000000-0004-0000-0200-000012010000}"/>
    <hyperlink ref="D278" r:id="rId276" display="http://tumor.informatics.jax.org/mtbwi/tumorSummary.do?strainKey=164&amp;organOfOriginKey=92&amp;tumorFrequencyKeys=75624,75625,75626,76009" xr:uid="{00000000-0004-0000-0200-000013010000}"/>
  </hyperlinks>
  <pageMargins left="0.7" right="0.7" top="0.75" bottom="0.75" header="0.3" footer="0.3"/>
  <pageSetup orientation="portrait" r:id="rId27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8"/>
  <sheetViews>
    <sheetView zoomScale="70" zoomScaleNormal="70" workbookViewId="0">
      <selection activeCell="F202" sqref="A170:F202"/>
    </sheetView>
  </sheetViews>
  <sheetFormatPr baseColWidth="10" defaultColWidth="8.83203125" defaultRowHeight="15" x14ac:dyDescent="0.2"/>
  <cols>
    <col min="1" max="1" width="62.5" bestFit="1" customWidth="1"/>
    <col min="2" max="2" width="48.83203125" bestFit="1" customWidth="1"/>
    <col min="3" max="3" width="19.5" bestFit="1" customWidth="1"/>
    <col min="4" max="4" width="20.33203125" bestFit="1" customWidth="1"/>
    <col min="5" max="5" width="18.6640625" bestFit="1" customWidth="1"/>
    <col min="8" max="8" width="43.5" customWidth="1"/>
  </cols>
  <sheetData>
    <row r="1" spans="1:12" x14ac:dyDescent="0.2">
      <c r="A1" t="s">
        <v>18</v>
      </c>
      <c r="B1" t="s">
        <v>19</v>
      </c>
      <c r="C1" t="s">
        <v>20</v>
      </c>
      <c r="D1" t="s">
        <v>165</v>
      </c>
      <c r="E1" t="s">
        <v>21</v>
      </c>
    </row>
    <row r="2" spans="1:12" ht="16" x14ac:dyDescent="0.2">
      <c r="D2" t="s">
        <v>167</v>
      </c>
      <c r="H2" s="1" t="s">
        <v>35</v>
      </c>
      <c r="I2">
        <f t="shared" ref="I2:I45" ca="1" si="0">AVERAGEIF($B$3:$B$260,H2,$E$3:$E$169)</f>
        <v>0</v>
      </c>
      <c r="L2" t="s">
        <v>381</v>
      </c>
    </row>
    <row r="3" spans="1:12" ht="16" x14ac:dyDescent="0.2">
      <c r="A3" t="s">
        <v>35</v>
      </c>
      <c r="B3" t="s">
        <v>35</v>
      </c>
      <c r="C3" t="s">
        <v>23</v>
      </c>
      <c r="D3">
        <v>2</v>
      </c>
      <c r="E3">
        <v>0</v>
      </c>
      <c r="H3" s="1" t="s">
        <v>166</v>
      </c>
      <c r="I3">
        <f t="shared" ca="1" si="0"/>
        <v>4.166666666666667</v>
      </c>
    </row>
    <row r="4" spans="1:12" ht="16" x14ac:dyDescent="0.2">
      <c r="A4" t="s">
        <v>287</v>
      </c>
      <c r="B4" t="s">
        <v>35</v>
      </c>
      <c r="C4" t="s">
        <v>23</v>
      </c>
      <c r="D4">
        <v>2</v>
      </c>
      <c r="E4">
        <v>0</v>
      </c>
      <c r="H4" s="1" t="s">
        <v>43</v>
      </c>
      <c r="I4">
        <f t="shared" ca="1" si="0"/>
        <v>1.25</v>
      </c>
    </row>
    <row r="5" spans="1:12" ht="16" x14ac:dyDescent="0.2">
      <c r="A5" t="s">
        <v>166</v>
      </c>
      <c r="B5" t="s">
        <v>166</v>
      </c>
      <c r="C5" t="s">
        <v>23</v>
      </c>
      <c r="D5">
        <v>4</v>
      </c>
      <c r="E5">
        <v>0</v>
      </c>
      <c r="H5" s="1" t="s">
        <v>61</v>
      </c>
      <c r="I5" t="e">
        <f t="shared" ca="1" si="0"/>
        <v>#DIV/0!</v>
      </c>
    </row>
    <row r="6" spans="1:12" ht="16" x14ac:dyDescent="0.2">
      <c r="A6" t="s">
        <v>166</v>
      </c>
      <c r="B6" t="s">
        <v>166</v>
      </c>
      <c r="C6" t="s">
        <v>23</v>
      </c>
      <c r="D6">
        <v>1</v>
      </c>
      <c r="E6">
        <v>2.5</v>
      </c>
      <c r="H6" s="1" t="s">
        <v>60</v>
      </c>
      <c r="I6">
        <f t="shared" ca="1" si="0"/>
        <v>0</v>
      </c>
    </row>
    <row r="7" spans="1:12" ht="16" x14ac:dyDescent="0.2">
      <c r="A7" t="s">
        <v>166</v>
      </c>
      <c r="B7" t="s">
        <v>166</v>
      </c>
      <c r="C7" t="s">
        <v>23</v>
      </c>
      <c r="D7">
        <v>2</v>
      </c>
      <c r="E7">
        <v>0</v>
      </c>
      <c r="H7" s="1" t="s">
        <v>38</v>
      </c>
      <c r="I7">
        <f t="shared" ca="1" si="0"/>
        <v>0</v>
      </c>
    </row>
    <row r="8" spans="1:12" ht="16" x14ac:dyDescent="0.2">
      <c r="A8" t="s">
        <v>166</v>
      </c>
      <c r="B8" t="s">
        <v>166</v>
      </c>
      <c r="C8" t="s">
        <v>23</v>
      </c>
      <c r="D8">
        <v>2</v>
      </c>
      <c r="E8">
        <v>25</v>
      </c>
      <c r="H8" s="1" t="s">
        <v>132</v>
      </c>
      <c r="I8" t="e">
        <f t="shared" ca="1" si="0"/>
        <v>#DIV/0!</v>
      </c>
    </row>
    <row r="9" spans="1:12" ht="16" x14ac:dyDescent="0.2">
      <c r="A9" t="s">
        <v>166</v>
      </c>
      <c r="B9" t="s">
        <v>166</v>
      </c>
      <c r="C9" t="s">
        <v>23</v>
      </c>
      <c r="D9">
        <v>2</v>
      </c>
      <c r="E9">
        <v>0</v>
      </c>
      <c r="H9" s="1" t="s">
        <v>65</v>
      </c>
      <c r="I9">
        <f t="shared" ca="1" si="0"/>
        <v>0.625</v>
      </c>
    </row>
    <row r="10" spans="1:12" ht="16" x14ac:dyDescent="0.2">
      <c r="A10" t="s">
        <v>166</v>
      </c>
      <c r="B10" t="s">
        <v>166</v>
      </c>
      <c r="C10" t="s">
        <v>23</v>
      </c>
      <c r="D10">
        <v>7</v>
      </c>
      <c r="E10">
        <v>2.5</v>
      </c>
      <c r="H10" s="1" t="s">
        <v>71</v>
      </c>
      <c r="I10" t="e">
        <f t="shared" ca="1" si="0"/>
        <v>#DIV/0!</v>
      </c>
    </row>
    <row r="11" spans="1:12" ht="16" x14ac:dyDescent="0.2">
      <c r="A11" t="s">
        <v>166</v>
      </c>
      <c r="B11" t="s">
        <v>166</v>
      </c>
      <c r="C11" t="s">
        <v>23</v>
      </c>
      <c r="D11">
        <v>2</v>
      </c>
      <c r="E11">
        <v>2.5</v>
      </c>
      <c r="H11" s="1" t="s">
        <v>88</v>
      </c>
      <c r="I11">
        <f t="shared" ca="1" si="0"/>
        <v>1.6666666666666667</v>
      </c>
    </row>
    <row r="12" spans="1:12" ht="16" x14ac:dyDescent="0.2">
      <c r="A12" t="s">
        <v>288</v>
      </c>
      <c r="B12" t="s">
        <v>43</v>
      </c>
      <c r="C12" t="s">
        <v>23</v>
      </c>
      <c r="D12">
        <v>2</v>
      </c>
      <c r="E12">
        <v>0</v>
      </c>
      <c r="H12" s="1" t="s">
        <v>25</v>
      </c>
      <c r="I12">
        <f t="shared" ca="1" si="0"/>
        <v>0</v>
      </c>
    </row>
    <row r="13" spans="1:12" ht="16" x14ac:dyDescent="0.2">
      <c r="A13" t="s">
        <v>288</v>
      </c>
      <c r="B13" t="s">
        <v>43</v>
      </c>
      <c r="C13" t="s">
        <v>23</v>
      </c>
      <c r="D13">
        <v>1</v>
      </c>
      <c r="E13">
        <v>0</v>
      </c>
      <c r="H13" s="1" t="s">
        <v>74</v>
      </c>
      <c r="I13" t="e">
        <f t="shared" ca="1" si="0"/>
        <v>#DIV/0!</v>
      </c>
    </row>
    <row r="14" spans="1:12" ht="16" x14ac:dyDescent="0.2">
      <c r="A14" t="s">
        <v>288</v>
      </c>
      <c r="B14" t="s">
        <v>43</v>
      </c>
      <c r="C14" t="s">
        <v>23</v>
      </c>
      <c r="D14">
        <v>1</v>
      </c>
      <c r="E14">
        <v>2.5</v>
      </c>
      <c r="H14" s="1" t="s">
        <v>76</v>
      </c>
      <c r="I14" t="e">
        <f t="shared" ca="1" si="0"/>
        <v>#DIV/0!</v>
      </c>
    </row>
    <row r="15" spans="1:12" ht="16" x14ac:dyDescent="0.2">
      <c r="A15" t="s">
        <v>288</v>
      </c>
      <c r="B15" t="s">
        <v>43</v>
      </c>
      <c r="C15" t="s">
        <v>23</v>
      </c>
      <c r="D15">
        <v>1</v>
      </c>
      <c r="E15">
        <v>2.5</v>
      </c>
      <c r="H15" s="1" t="s">
        <v>26</v>
      </c>
      <c r="I15" t="e">
        <f t="shared" ca="1" si="0"/>
        <v>#DIV/0!</v>
      </c>
    </row>
    <row r="16" spans="1:12" ht="16" x14ac:dyDescent="0.2">
      <c r="A16" t="s">
        <v>288</v>
      </c>
      <c r="B16" t="s">
        <v>43</v>
      </c>
      <c r="C16" t="s">
        <v>23</v>
      </c>
      <c r="D16">
        <v>4</v>
      </c>
      <c r="E16">
        <v>1.25</v>
      </c>
      <c r="H16" s="1" t="s">
        <v>78</v>
      </c>
      <c r="I16">
        <f t="shared" ca="1" si="0"/>
        <v>0.234375</v>
      </c>
    </row>
    <row r="17" spans="1:9" ht="16" x14ac:dyDescent="0.2">
      <c r="A17" t="s">
        <v>288</v>
      </c>
      <c r="B17" t="s">
        <v>43</v>
      </c>
      <c r="C17" t="s">
        <v>23</v>
      </c>
      <c r="D17">
        <v>1</v>
      </c>
      <c r="E17">
        <v>2.5</v>
      </c>
      <c r="H17" s="1" t="s">
        <v>27</v>
      </c>
      <c r="I17">
        <f t="shared" ca="1" si="0"/>
        <v>0</v>
      </c>
    </row>
    <row r="18" spans="1:9" ht="16" x14ac:dyDescent="0.2">
      <c r="A18" t="s">
        <v>288</v>
      </c>
      <c r="B18" t="s">
        <v>43</v>
      </c>
      <c r="C18" t="s">
        <v>23</v>
      </c>
      <c r="D18">
        <v>1</v>
      </c>
      <c r="E18">
        <v>2.5</v>
      </c>
      <c r="H18" s="1" t="s">
        <v>29</v>
      </c>
      <c r="I18">
        <f t="shared" ca="1" si="0"/>
        <v>3</v>
      </c>
    </row>
    <row r="19" spans="1:9" ht="16" x14ac:dyDescent="0.2">
      <c r="A19" t="s">
        <v>288</v>
      </c>
      <c r="B19" t="s">
        <v>43</v>
      </c>
      <c r="C19" t="s">
        <v>23</v>
      </c>
      <c r="D19">
        <v>2</v>
      </c>
      <c r="E19">
        <v>0</v>
      </c>
      <c r="H19" s="1" t="s">
        <v>30</v>
      </c>
      <c r="I19">
        <f t="shared" ca="1" si="0"/>
        <v>2.5</v>
      </c>
    </row>
    <row r="20" spans="1:9" ht="16" x14ac:dyDescent="0.2">
      <c r="A20" t="s">
        <v>288</v>
      </c>
      <c r="B20" t="s">
        <v>43</v>
      </c>
      <c r="C20" t="s">
        <v>23</v>
      </c>
      <c r="D20">
        <v>2</v>
      </c>
      <c r="E20">
        <v>0</v>
      </c>
      <c r="H20" s="1" t="s">
        <v>31</v>
      </c>
      <c r="I20">
        <f t="shared" ca="1" si="0"/>
        <v>4.375</v>
      </c>
    </row>
    <row r="21" spans="1:9" ht="16" x14ac:dyDescent="0.2">
      <c r="A21" t="s">
        <v>58</v>
      </c>
      <c r="B21" t="s">
        <v>58</v>
      </c>
      <c r="C21" t="s">
        <v>23</v>
      </c>
      <c r="D21">
        <v>1</v>
      </c>
      <c r="E21">
        <v>0</v>
      </c>
      <c r="H21" s="1" t="s">
        <v>86</v>
      </c>
      <c r="I21" t="e">
        <f t="shared" ca="1" si="0"/>
        <v>#DIV/0!</v>
      </c>
    </row>
    <row r="22" spans="1:9" ht="16" x14ac:dyDescent="0.2">
      <c r="A22" t="s">
        <v>58</v>
      </c>
      <c r="B22" t="s">
        <v>58</v>
      </c>
      <c r="C22" t="s">
        <v>23</v>
      </c>
      <c r="D22">
        <v>1</v>
      </c>
      <c r="E22">
        <v>0</v>
      </c>
      <c r="H22" s="1" t="s">
        <v>32</v>
      </c>
      <c r="I22">
        <f t="shared" ca="1" si="0"/>
        <v>2.2916666666666665</v>
      </c>
    </row>
    <row r="23" spans="1:9" ht="16" x14ac:dyDescent="0.2">
      <c r="A23" t="s">
        <v>58</v>
      </c>
      <c r="B23" t="s">
        <v>58</v>
      </c>
      <c r="C23" t="s">
        <v>23</v>
      </c>
      <c r="D23">
        <v>1</v>
      </c>
      <c r="E23">
        <v>0</v>
      </c>
      <c r="H23" s="1" t="s">
        <v>133</v>
      </c>
      <c r="I23" t="e">
        <f t="shared" ca="1" si="0"/>
        <v>#DIV/0!</v>
      </c>
    </row>
    <row r="24" spans="1:9" ht="16" x14ac:dyDescent="0.2">
      <c r="A24" t="s">
        <v>58</v>
      </c>
      <c r="B24" t="s">
        <v>58</v>
      </c>
      <c r="C24" t="s">
        <v>23</v>
      </c>
      <c r="D24">
        <v>2</v>
      </c>
      <c r="E24">
        <v>0</v>
      </c>
      <c r="H24" s="1" t="s">
        <v>91</v>
      </c>
      <c r="I24" t="e">
        <f t="shared" ca="1" si="0"/>
        <v>#DIV/0!</v>
      </c>
    </row>
    <row r="25" spans="1:9" ht="16" x14ac:dyDescent="0.2">
      <c r="A25" t="s">
        <v>58</v>
      </c>
      <c r="B25" t="s">
        <v>58</v>
      </c>
      <c r="C25" t="s">
        <v>23</v>
      </c>
      <c r="D25">
        <v>11</v>
      </c>
      <c r="E25">
        <v>7</v>
      </c>
      <c r="H25" s="1" t="s">
        <v>134</v>
      </c>
      <c r="I25">
        <f t="shared" ca="1" si="0"/>
        <v>2.1</v>
      </c>
    </row>
    <row r="26" spans="1:9" ht="16" x14ac:dyDescent="0.2">
      <c r="A26" t="s">
        <v>289</v>
      </c>
      <c r="B26" t="s">
        <v>38</v>
      </c>
      <c r="C26" t="s">
        <v>23</v>
      </c>
      <c r="D26">
        <v>1</v>
      </c>
      <c r="E26">
        <v>0</v>
      </c>
      <c r="H26" s="1" t="s">
        <v>96</v>
      </c>
      <c r="I26">
        <f t="shared" ca="1" si="0"/>
        <v>2.5</v>
      </c>
    </row>
    <row r="27" spans="1:9" ht="16" x14ac:dyDescent="0.2">
      <c r="A27" t="s">
        <v>60</v>
      </c>
      <c r="B27" t="s">
        <v>60</v>
      </c>
      <c r="C27" t="s">
        <v>23</v>
      </c>
      <c r="D27">
        <v>1</v>
      </c>
      <c r="E27">
        <v>0</v>
      </c>
      <c r="H27" s="1" t="s">
        <v>135</v>
      </c>
      <c r="I27" t="e">
        <f t="shared" ca="1" si="0"/>
        <v>#DIV/0!</v>
      </c>
    </row>
    <row r="28" spans="1:9" ht="16" x14ac:dyDescent="0.2">
      <c r="A28" t="s">
        <v>290</v>
      </c>
      <c r="B28" t="s">
        <v>65</v>
      </c>
      <c r="C28" t="s">
        <v>23</v>
      </c>
      <c r="D28">
        <v>1</v>
      </c>
      <c r="E28">
        <v>2.5</v>
      </c>
      <c r="H28" s="1" t="s">
        <v>56</v>
      </c>
      <c r="I28">
        <f t="shared" ca="1" si="0"/>
        <v>14.5</v>
      </c>
    </row>
    <row r="29" spans="1:9" ht="16" x14ac:dyDescent="0.2">
      <c r="A29" t="s">
        <v>172</v>
      </c>
      <c r="B29" t="s">
        <v>52</v>
      </c>
      <c r="C29" t="s">
        <v>23</v>
      </c>
      <c r="D29">
        <v>1</v>
      </c>
      <c r="E29">
        <v>0</v>
      </c>
      <c r="H29" s="1" t="s">
        <v>45</v>
      </c>
      <c r="I29">
        <f t="shared" ca="1" si="0"/>
        <v>1.875</v>
      </c>
    </row>
    <row r="30" spans="1:9" ht="16" x14ac:dyDescent="0.2">
      <c r="A30" t="s">
        <v>173</v>
      </c>
      <c r="B30" t="s">
        <v>50</v>
      </c>
      <c r="C30" t="s">
        <v>23</v>
      </c>
      <c r="D30">
        <v>2</v>
      </c>
      <c r="E30">
        <v>0</v>
      </c>
      <c r="H30" s="1" t="s">
        <v>103</v>
      </c>
      <c r="I30" t="e">
        <f t="shared" ca="1" si="0"/>
        <v>#DIV/0!</v>
      </c>
    </row>
    <row r="31" spans="1:9" ht="16" x14ac:dyDescent="0.2">
      <c r="A31" t="s">
        <v>291</v>
      </c>
      <c r="B31" t="s">
        <v>173</v>
      </c>
      <c r="C31" t="s">
        <v>23</v>
      </c>
      <c r="D31">
        <v>2</v>
      </c>
      <c r="E31">
        <v>0</v>
      </c>
      <c r="H31" s="1" t="s">
        <v>107</v>
      </c>
      <c r="I31" t="e">
        <f t="shared" ca="1" si="0"/>
        <v>#DIV/0!</v>
      </c>
    </row>
    <row r="32" spans="1:9" ht="16" x14ac:dyDescent="0.2">
      <c r="A32" t="s">
        <v>70</v>
      </c>
      <c r="B32" t="s">
        <v>70</v>
      </c>
      <c r="C32" t="s">
        <v>23</v>
      </c>
      <c r="D32">
        <v>2</v>
      </c>
      <c r="E32">
        <v>0</v>
      </c>
      <c r="H32" s="1" t="s">
        <v>108</v>
      </c>
      <c r="I32" t="e">
        <f t="shared" ca="1" si="0"/>
        <v>#DIV/0!</v>
      </c>
    </row>
    <row r="33" spans="1:9" ht="16" x14ac:dyDescent="0.2">
      <c r="A33" t="s">
        <v>174</v>
      </c>
      <c r="B33" t="s">
        <v>292</v>
      </c>
      <c r="C33" t="s">
        <v>23</v>
      </c>
      <c r="D33">
        <v>1</v>
      </c>
      <c r="E33">
        <v>0</v>
      </c>
      <c r="H33" s="1" t="s">
        <v>101</v>
      </c>
      <c r="I33" t="e">
        <f t="shared" ca="1" si="0"/>
        <v>#DIV/0!</v>
      </c>
    </row>
    <row r="34" spans="1:9" ht="16" x14ac:dyDescent="0.2">
      <c r="A34" t="s">
        <v>175</v>
      </c>
      <c r="B34" t="s">
        <v>88</v>
      </c>
      <c r="C34" t="s">
        <v>23</v>
      </c>
      <c r="D34">
        <v>1</v>
      </c>
      <c r="E34">
        <v>2.5</v>
      </c>
      <c r="H34" s="1" t="s">
        <v>34</v>
      </c>
      <c r="I34" t="e">
        <f t="shared" ca="1" si="0"/>
        <v>#DIV/0!</v>
      </c>
    </row>
    <row r="35" spans="1:9" ht="16" x14ac:dyDescent="0.2">
      <c r="A35" t="s">
        <v>176</v>
      </c>
      <c r="B35" t="s">
        <v>292</v>
      </c>
      <c r="C35" t="s">
        <v>23</v>
      </c>
      <c r="D35">
        <v>1</v>
      </c>
      <c r="E35">
        <v>2.5</v>
      </c>
      <c r="H35" s="1" t="s">
        <v>110</v>
      </c>
      <c r="I35" t="e">
        <f t="shared" ca="1" si="0"/>
        <v>#DIV/0!</v>
      </c>
    </row>
    <row r="36" spans="1:9" ht="16" x14ac:dyDescent="0.2">
      <c r="A36" t="s">
        <v>25</v>
      </c>
      <c r="B36" t="s">
        <v>25</v>
      </c>
      <c r="C36" t="s">
        <v>23</v>
      </c>
      <c r="D36">
        <v>2</v>
      </c>
      <c r="E36">
        <v>0</v>
      </c>
      <c r="H36" s="1" t="s">
        <v>112</v>
      </c>
      <c r="I36" t="e">
        <f t="shared" ca="1" si="0"/>
        <v>#DIV/0!</v>
      </c>
    </row>
    <row r="37" spans="1:9" ht="16" x14ac:dyDescent="0.2">
      <c r="A37" t="s">
        <v>177</v>
      </c>
      <c r="B37" t="s">
        <v>25</v>
      </c>
      <c r="C37" t="s">
        <v>23</v>
      </c>
      <c r="D37">
        <v>2</v>
      </c>
      <c r="E37">
        <v>0</v>
      </c>
      <c r="H37" s="1" t="s">
        <v>37</v>
      </c>
      <c r="I37">
        <f t="shared" ca="1" si="0"/>
        <v>0.3125</v>
      </c>
    </row>
    <row r="38" spans="1:9" ht="16" x14ac:dyDescent="0.2">
      <c r="A38" t="s">
        <v>178</v>
      </c>
      <c r="B38" t="s">
        <v>75</v>
      </c>
      <c r="C38" t="s">
        <v>23</v>
      </c>
      <c r="D38">
        <v>3</v>
      </c>
      <c r="E38">
        <v>1.25</v>
      </c>
      <c r="H38" s="1" t="s">
        <v>66</v>
      </c>
      <c r="I38">
        <f t="shared" ca="1" si="0"/>
        <v>2.8125</v>
      </c>
    </row>
    <row r="39" spans="1:9" ht="16" x14ac:dyDescent="0.2">
      <c r="A39" t="s">
        <v>179</v>
      </c>
      <c r="B39" t="s">
        <v>75</v>
      </c>
      <c r="C39" t="s">
        <v>23</v>
      </c>
      <c r="D39">
        <v>2</v>
      </c>
      <c r="E39">
        <v>0</v>
      </c>
      <c r="H39" s="1" t="s">
        <v>51</v>
      </c>
      <c r="I39">
        <f t="shared" ca="1" si="0"/>
        <v>0.83333333333333337</v>
      </c>
    </row>
    <row r="40" spans="1:9" ht="16" x14ac:dyDescent="0.2">
      <c r="A40" t="s">
        <v>180</v>
      </c>
      <c r="B40" t="s">
        <v>75</v>
      </c>
      <c r="C40" t="s">
        <v>23</v>
      </c>
      <c r="D40">
        <v>2</v>
      </c>
      <c r="E40">
        <v>0</v>
      </c>
      <c r="H40" s="1" t="s">
        <v>119</v>
      </c>
      <c r="I40" t="e">
        <f t="shared" ca="1" si="0"/>
        <v>#DIV/0!</v>
      </c>
    </row>
    <row r="41" spans="1:9" ht="16" x14ac:dyDescent="0.2">
      <c r="A41" t="s">
        <v>181</v>
      </c>
      <c r="B41" t="s">
        <v>78</v>
      </c>
      <c r="C41" t="s">
        <v>23</v>
      </c>
      <c r="D41">
        <v>1</v>
      </c>
      <c r="E41">
        <v>0</v>
      </c>
      <c r="H41" s="1" t="s">
        <v>122</v>
      </c>
      <c r="I41">
        <f t="shared" ca="1" si="0"/>
        <v>3.75</v>
      </c>
    </row>
    <row r="42" spans="1:9" ht="16" x14ac:dyDescent="0.2">
      <c r="A42" t="s">
        <v>182</v>
      </c>
      <c r="B42" t="s">
        <v>78</v>
      </c>
      <c r="C42" t="s">
        <v>23</v>
      </c>
      <c r="D42">
        <v>2</v>
      </c>
      <c r="E42">
        <v>0</v>
      </c>
      <c r="H42" s="1" t="s">
        <v>123</v>
      </c>
      <c r="I42" t="e">
        <f t="shared" ca="1" si="0"/>
        <v>#DIV/0!</v>
      </c>
    </row>
    <row r="43" spans="1:9" ht="16" x14ac:dyDescent="0.2">
      <c r="A43" t="s">
        <v>183</v>
      </c>
      <c r="B43" t="s">
        <v>78</v>
      </c>
      <c r="C43" t="s">
        <v>23</v>
      </c>
      <c r="D43">
        <v>1</v>
      </c>
      <c r="E43">
        <v>0</v>
      </c>
      <c r="H43" s="1" t="s">
        <v>125</v>
      </c>
      <c r="I43" t="e">
        <f t="shared" ca="1" si="0"/>
        <v>#DIV/0!</v>
      </c>
    </row>
    <row r="44" spans="1:9" ht="16" x14ac:dyDescent="0.2">
      <c r="A44" t="s">
        <v>142</v>
      </c>
      <c r="B44" t="s">
        <v>78</v>
      </c>
      <c r="C44" t="s">
        <v>23</v>
      </c>
      <c r="D44">
        <v>2</v>
      </c>
      <c r="E44">
        <v>0</v>
      </c>
      <c r="H44" s="1" t="s">
        <v>55</v>
      </c>
      <c r="I44">
        <f t="shared" ca="1" si="0"/>
        <v>1.875</v>
      </c>
    </row>
    <row r="45" spans="1:9" ht="16" x14ac:dyDescent="0.2">
      <c r="A45" t="s">
        <v>184</v>
      </c>
      <c r="B45" t="s">
        <v>78</v>
      </c>
      <c r="C45" t="s">
        <v>23</v>
      </c>
      <c r="D45">
        <v>1</v>
      </c>
      <c r="E45">
        <v>0</v>
      </c>
      <c r="H45" s="1" t="s">
        <v>127</v>
      </c>
      <c r="I45" t="e">
        <f t="shared" ca="1" si="0"/>
        <v>#DIV/0!</v>
      </c>
    </row>
    <row r="46" spans="1:9" x14ac:dyDescent="0.2">
      <c r="A46" t="s">
        <v>185</v>
      </c>
      <c r="B46" t="s">
        <v>78</v>
      </c>
      <c r="C46" t="s">
        <v>23</v>
      </c>
      <c r="D46">
        <v>2</v>
      </c>
      <c r="E46">
        <v>0</v>
      </c>
      <c r="H46" s="1"/>
    </row>
    <row r="47" spans="1:9" x14ac:dyDescent="0.2">
      <c r="A47" t="s">
        <v>186</v>
      </c>
      <c r="B47" t="s">
        <v>78</v>
      </c>
      <c r="C47" t="s">
        <v>23</v>
      </c>
      <c r="D47">
        <v>2</v>
      </c>
      <c r="E47">
        <v>0</v>
      </c>
      <c r="H47" s="1"/>
    </row>
    <row r="48" spans="1:9" x14ac:dyDescent="0.2">
      <c r="A48" t="s">
        <v>187</v>
      </c>
      <c r="B48" t="s">
        <v>78</v>
      </c>
      <c r="C48" t="s">
        <v>23</v>
      </c>
      <c r="D48">
        <v>2</v>
      </c>
      <c r="E48">
        <v>0</v>
      </c>
      <c r="H48" s="1"/>
    </row>
    <row r="49" spans="1:8" x14ac:dyDescent="0.2">
      <c r="A49" t="s">
        <v>188</v>
      </c>
      <c r="B49" t="s">
        <v>78</v>
      </c>
      <c r="C49" t="s">
        <v>23</v>
      </c>
      <c r="D49">
        <v>2</v>
      </c>
      <c r="E49">
        <v>0</v>
      </c>
      <c r="H49" s="1"/>
    </row>
    <row r="50" spans="1:8" x14ac:dyDescent="0.2">
      <c r="A50" t="s">
        <v>189</v>
      </c>
      <c r="B50" t="s">
        <v>78</v>
      </c>
      <c r="C50" t="s">
        <v>23</v>
      </c>
      <c r="D50">
        <v>2</v>
      </c>
      <c r="E50">
        <v>0</v>
      </c>
      <c r="H50" s="1"/>
    </row>
    <row r="51" spans="1:8" x14ac:dyDescent="0.2">
      <c r="A51" t="s">
        <v>190</v>
      </c>
      <c r="B51" t="s">
        <v>78</v>
      </c>
      <c r="C51" t="s">
        <v>23</v>
      </c>
      <c r="D51">
        <v>6</v>
      </c>
      <c r="E51">
        <v>1.25</v>
      </c>
      <c r="H51" s="1"/>
    </row>
    <row r="52" spans="1:8" x14ac:dyDescent="0.2">
      <c r="A52" t="s">
        <v>191</v>
      </c>
      <c r="B52" t="s">
        <v>78</v>
      </c>
      <c r="C52" t="s">
        <v>23</v>
      </c>
      <c r="D52">
        <v>3</v>
      </c>
      <c r="E52">
        <v>2.5</v>
      </c>
      <c r="H52" s="1"/>
    </row>
    <row r="53" spans="1:8" x14ac:dyDescent="0.2">
      <c r="A53" t="s">
        <v>192</v>
      </c>
      <c r="B53" t="s">
        <v>78</v>
      </c>
      <c r="C53" t="s">
        <v>23</v>
      </c>
      <c r="D53">
        <v>2</v>
      </c>
      <c r="E53">
        <v>0</v>
      </c>
      <c r="H53" s="1"/>
    </row>
    <row r="54" spans="1:8" x14ac:dyDescent="0.2">
      <c r="A54" t="s">
        <v>193</v>
      </c>
      <c r="B54" t="s">
        <v>78</v>
      </c>
      <c r="C54" t="s">
        <v>23</v>
      </c>
      <c r="D54">
        <v>2</v>
      </c>
      <c r="E54">
        <v>0</v>
      </c>
      <c r="H54" s="1"/>
    </row>
    <row r="55" spans="1:8" x14ac:dyDescent="0.2">
      <c r="A55" t="s">
        <v>194</v>
      </c>
      <c r="B55" t="s">
        <v>78</v>
      </c>
      <c r="C55" t="s">
        <v>23</v>
      </c>
      <c r="D55">
        <v>1</v>
      </c>
      <c r="E55">
        <v>0</v>
      </c>
      <c r="H55" s="1"/>
    </row>
    <row r="56" spans="1:8" x14ac:dyDescent="0.2">
      <c r="A56" t="s">
        <v>195</v>
      </c>
      <c r="B56" t="s">
        <v>27</v>
      </c>
      <c r="C56" t="s">
        <v>23</v>
      </c>
      <c r="D56">
        <v>2</v>
      </c>
      <c r="E56">
        <v>0</v>
      </c>
      <c r="H56" s="1"/>
    </row>
    <row r="57" spans="1:8" x14ac:dyDescent="0.2">
      <c r="A57" t="s">
        <v>196</v>
      </c>
      <c r="B57" t="s">
        <v>50</v>
      </c>
      <c r="C57" t="s">
        <v>23</v>
      </c>
      <c r="D57">
        <v>1</v>
      </c>
      <c r="E57">
        <v>2.5</v>
      </c>
      <c r="H57" s="1"/>
    </row>
    <row r="58" spans="1:8" x14ac:dyDescent="0.2">
      <c r="A58" t="s">
        <v>197</v>
      </c>
      <c r="B58" t="s">
        <v>29</v>
      </c>
      <c r="C58" t="s">
        <v>23</v>
      </c>
      <c r="D58">
        <v>2</v>
      </c>
      <c r="E58">
        <v>0</v>
      </c>
      <c r="H58" s="1"/>
    </row>
    <row r="59" spans="1:8" x14ac:dyDescent="0.2">
      <c r="A59" t="s">
        <v>198</v>
      </c>
      <c r="B59" t="s">
        <v>29</v>
      </c>
      <c r="C59" t="s">
        <v>23</v>
      </c>
      <c r="D59">
        <v>1</v>
      </c>
      <c r="E59">
        <v>0</v>
      </c>
      <c r="H59" s="1"/>
    </row>
    <row r="60" spans="1:8" x14ac:dyDescent="0.2">
      <c r="A60" t="s">
        <v>199</v>
      </c>
      <c r="B60" t="s">
        <v>29</v>
      </c>
      <c r="C60" t="s">
        <v>23</v>
      </c>
      <c r="D60">
        <v>3</v>
      </c>
      <c r="E60">
        <v>2.5</v>
      </c>
      <c r="H60" s="1"/>
    </row>
    <row r="61" spans="1:8" x14ac:dyDescent="0.2">
      <c r="A61" t="s">
        <v>199</v>
      </c>
      <c r="B61" t="s">
        <v>29</v>
      </c>
      <c r="C61" t="s">
        <v>23</v>
      </c>
      <c r="D61">
        <v>1</v>
      </c>
      <c r="E61">
        <v>2.5</v>
      </c>
      <c r="H61" s="1"/>
    </row>
    <row r="62" spans="1:8" x14ac:dyDescent="0.2">
      <c r="A62" t="s">
        <v>199</v>
      </c>
      <c r="B62" t="s">
        <v>29</v>
      </c>
      <c r="C62" t="s">
        <v>23</v>
      </c>
      <c r="D62">
        <v>2</v>
      </c>
      <c r="E62">
        <v>7.5</v>
      </c>
      <c r="H62" s="1"/>
    </row>
    <row r="63" spans="1:8" x14ac:dyDescent="0.2">
      <c r="A63" t="s">
        <v>200</v>
      </c>
      <c r="B63" t="s">
        <v>29</v>
      </c>
      <c r="C63" t="s">
        <v>23</v>
      </c>
      <c r="D63">
        <v>2</v>
      </c>
      <c r="E63">
        <v>0</v>
      </c>
      <c r="H63" s="1"/>
    </row>
    <row r="64" spans="1:8" x14ac:dyDescent="0.2">
      <c r="A64" t="s">
        <v>200</v>
      </c>
      <c r="B64" t="s">
        <v>29</v>
      </c>
      <c r="C64" t="s">
        <v>23</v>
      </c>
      <c r="D64">
        <v>4</v>
      </c>
      <c r="E64">
        <v>0</v>
      </c>
      <c r="H64" s="1"/>
    </row>
    <row r="65" spans="1:8" x14ac:dyDescent="0.2">
      <c r="A65" t="s">
        <v>200</v>
      </c>
      <c r="B65" t="s">
        <v>29</v>
      </c>
      <c r="C65" t="s">
        <v>23</v>
      </c>
      <c r="D65">
        <v>2</v>
      </c>
      <c r="E65">
        <v>0</v>
      </c>
      <c r="H65" s="1"/>
    </row>
    <row r="66" spans="1:8" x14ac:dyDescent="0.2">
      <c r="A66" t="s">
        <v>201</v>
      </c>
      <c r="B66" t="s">
        <v>29</v>
      </c>
      <c r="C66" t="s">
        <v>23</v>
      </c>
      <c r="D66">
        <v>2</v>
      </c>
      <c r="E66">
        <v>0</v>
      </c>
      <c r="H66" s="1"/>
    </row>
    <row r="67" spans="1:8" x14ac:dyDescent="0.2">
      <c r="A67" t="s">
        <v>147</v>
      </c>
      <c r="B67" t="s">
        <v>29</v>
      </c>
      <c r="C67" t="s">
        <v>23</v>
      </c>
      <c r="D67">
        <v>1</v>
      </c>
      <c r="E67">
        <v>2.5</v>
      </c>
      <c r="H67" s="1"/>
    </row>
    <row r="68" spans="1:8" x14ac:dyDescent="0.2">
      <c r="A68" t="s">
        <v>147</v>
      </c>
      <c r="B68" t="s">
        <v>29</v>
      </c>
      <c r="C68" t="s">
        <v>23</v>
      </c>
      <c r="D68">
        <v>4</v>
      </c>
      <c r="E68">
        <v>18</v>
      </c>
      <c r="H68" s="1"/>
    </row>
    <row r="69" spans="1:8" x14ac:dyDescent="0.2">
      <c r="A69" t="s">
        <v>202</v>
      </c>
      <c r="B69" t="s">
        <v>30</v>
      </c>
      <c r="C69" t="s">
        <v>23</v>
      </c>
      <c r="D69">
        <v>2</v>
      </c>
      <c r="E69">
        <v>0</v>
      </c>
      <c r="H69" s="1"/>
    </row>
    <row r="70" spans="1:8" x14ac:dyDescent="0.2">
      <c r="A70" t="s">
        <v>203</v>
      </c>
      <c r="B70" t="s">
        <v>30</v>
      </c>
      <c r="C70" t="s">
        <v>23</v>
      </c>
      <c r="D70">
        <v>2</v>
      </c>
      <c r="E70">
        <v>0</v>
      </c>
      <c r="H70" s="1"/>
    </row>
    <row r="71" spans="1:8" x14ac:dyDescent="0.2">
      <c r="A71" t="s">
        <v>148</v>
      </c>
      <c r="B71" t="s">
        <v>30</v>
      </c>
      <c r="C71" t="s">
        <v>23</v>
      </c>
      <c r="D71">
        <v>2</v>
      </c>
      <c r="E71">
        <v>7.5</v>
      </c>
      <c r="H71" s="1"/>
    </row>
    <row r="72" spans="1:8" x14ac:dyDescent="0.2">
      <c r="A72" t="s">
        <v>149</v>
      </c>
      <c r="B72" t="s">
        <v>31</v>
      </c>
      <c r="C72" t="s">
        <v>23</v>
      </c>
      <c r="D72">
        <v>15</v>
      </c>
      <c r="E72">
        <v>15</v>
      </c>
      <c r="H72" s="1"/>
    </row>
    <row r="73" spans="1:8" x14ac:dyDescent="0.2">
      <c r="A73" t="s">
        <v>151</v>
      </c>
      <c r="B73" t="s">
        <v>31</v>
      </c>
      <c r="C73" t="s">
        <v>23</v>
      </c>
      <c r="D73">
        <v>2</v>
      </c>
      <c r="E73">
        <v>0</v>
      </c>
      <c r="H73" s="1"/>
    </row>
    <row r="74" spans="1:8" x14ac:dyDescent="0.2">
      <c r="A74" t="s">
        <v>204</v>
      </c>
      <c r="B74" t="s">
        <v>31</v>
      </c>
      <c r="C74" t="s">
        <v>23</v>
      </c>
      <c r="D74">
        <v>1</v>
      </c>
      <c r="E74">
        <v>2.5</v>
      </c>
      <c r="H74" s="1"/>
    </row>
    <row r="75" spans="1:8" x14ac:dyDescent="0.2">
      <c r="A75" t="s">
        <v>205</v>
      </c>
      <c r="B75" t="s">
        <v>49</v>
      </c>
      <c r="C75" t="s">
        <v>23</v>
      </c>
      <c r="D75">
        <v>2</v>
      </c>
      <c r="E75">
        <v>0</v>
      </c>
      <c r="H75" s="1"/>
    </row>
    <row r="76" spans="1:8" x14ac:dyDescent="0.2">
      <c r="A76" t="s">
        <v>206</v>
      </c>
      <c r="B76" t="s">
        <v>49</v>
      </c>
      <c r="C76" t="s">
        <v>23</v>
      </c>
      <c r="D76">
        <v>2</v>
      </c>
      <c r="E76">
        <v>0</v>
      </c>
      <c r="H76" s="1"/>
    </row>
    <row r="77" spans="1:8" x14ac:dyDescent="0.2">
      <c r="A77" t="s">
        <v>207</v>
      </c>
      <c r="B77" t="s">
        <v>49</v>
      </c>
      <c r="C77" t="s">
        <v>23</v>
      </c>
      <c r="D77">
        <v>1</v>
      </c>
      <c r="E77">
        <v>0</v>
      </c>
      <c r="H77" s="1"/>
    </row>
    <row r="78" spans="1:8" x14ac:dyDescent="0.2">
      <c r="A78" t="s">
        <v>153</v>
      </c>
      <c r="B78" t="s">
        <v>32</v>
      </c>
      <c r="C78" t="s">
        <v>23</v>
      </c>
      <c r="D78">
        <v>1</v>
      </c>
      <c r="E78">
        <v>2.5</v>
      </c>
      <c r="H78" s="1"/>
    </row>
    <row r="79" spans="1:8" x14ac:dyDescent="0.2">
      <c r="A79" t="s">
        <v>154</v>
      </c>
      <c r="B79" t="s">
        <v>32</v>
      </c>
      <c r="C79" t="s">
        <v>23</v>
      </c>
      <c r="D79">
        <v>1</v>
      </c>
      <c r="E79">
        <v>2.5</v>
      </c>
      <c r="H79" s="1"/>
    </row>
    <row r="80" spans="1:8" x14ac:dyDescent="0.2">
      <c r="A80" t="s">
        <v>208</v>
      </c>
      <c r="B80" t="s">
        <v>32</v>
      </c>
      <c r="C80" t="s">
        <v>23</v>
      </c>
      <c r="D80">
        <v>1</v>
      </c>
      <c r="E80">
        <v>2.5</v>
      </c>
      <c r="H80" s="1"/>
    </row>
    <row r="81" spans="1:8" x14ac:dyDescent="0.2">
      <c r="A81" t="s">
        <v>209</v>
      </c>
      <c r="B81" t="s">
        <v>32</v>
      </c>
      <c r="C81" t="s">
        <v>23</v>
      </c>
      <c r="D81">
        <v>1</v>
      </c>
      <c r="E81">
        <v>2.5</v>
      </c>
      <c r="H81" s="1"/>
    </row>
    <row r="82" spans="1:8" x14ac:dyDescent="0.2">
      <c r="A82" t="s">
        <v>210</v>
      </c>
      <c r="B82" t="s">
        <v>32</v>
      </c>
      <c r="C82" t="s">
        <v>23</v>
      </c>
      <c r="D82">
        <v>1</v>
      </c>
      <c r="E82">
        <v>2.5</v>
      </c>
      <c r="H82" s="1"/>
    </row>
    <row r="83" spans="1:8" x14ac:dyDescent="0.2">
      <c r="A83" t="s">
        <v>211</v>
      </c>
      <c r="B83" t="s">
        <v>293</v>
      </c>
      <c r="C83" t="s">
        <v>23</v>
      </c>
      <c r="D83">
        <v>2</v>
      </c>
      <c r="E83">
        <v>0</v>
      </c>
      <c r="H83" s="1"/>
    </row>
    <row r="84" spans="1:8" x14ac:dyDescent="0.2">
      <c r="A84" t="s">
        <v>212</v>
      </c>
      <c r="B84" t="s">
        <v>168</v>
      </c>
      <c r="C84" t="s">
        <v>23</v>
      </c>
      <c r="D84">
        <v>2</v>
      </c>
      <c r="E84">
        <v>0</v>
      </c>
      <c r="H84" s="1"/>
    </row>
    <row r="85" spans="1:8" x14ac:dyDescent="0.2">
      <c r="A85" t="s">
        <v>212</v>
      </c>
      <c r="B85" t="s">
        <v>87</v>
      </c>
      <c r="C85" t="s">
        <v>23</v>
      </c>
      <c r="D85">
        <v>1</v>
      </c>
      <c r="E85">
        <v>0</v>
      </c>
      <c r="H85" s="1"/>
    </row>
    <row r="86" spans="1:8" x14ac:dyDescent="0.2">
      <c r="A86" t="s">
        <v>212</v>
      </c>
      <c r="B86" t="s">
        <v>66</v>
      </c>
      <c r="C86" t="s">
        <v>23</v>
      </c>
      <c r="D86">
        <v>2</v>
      </c>
      <c r="E86">
        <v>0</v>
      </c>
      <c r="H86" s="1"/>
    </row>
    <row r="87" spans="1:8" x14ac:dyDescent="0.2">
      <c r="A87" t="s">
        <v>212</v>
      </c>
      <c r="B87" t="s">
        <v>54</v>
      </c>
      <c r="C87" t="s">
        <v>23</v>
      </c>
      <c r="D87">
        <v>2</v>
      </c>
      <c r="E87">
        <v>0</v>
      </c>
      <c r="H87" s="1"/>
    </row>
    <row r="88" spans="1:8" x14ac:dyDescent="0.2">
      <c r="A88" t="s">
        <v>213</v>
      </c>
      <c r="B88" t="s">
        <v>166</v>
      </c>
      <c r="C88" t="s">
        <v>23</v>
      </c>
      <c r="D88">
        <v>1</v>
      </c>
      <c r="E88">
        <v>2.5</v>
      </c>
      <c r="H88" s="1"/>
    </row>
    <row r="89" spans="1:8" x14ac:dyDescent="0.2">
      <c r="A89" t="s">
        <v>213</v>
      </c>
      <c r="B89" t="s">
        <v>166</v>
      </c>
      <c r="C89" t="s">
        <v>23</v>
      </c>
      <c r="D89">
        <v>1</v>
      </c>
      <c r="E89">
        <v>2.5</v>
      </c>
      <c r="H89" s="1"/>
    </row>
    <row r="90" spans="1:8" x14ac:dyDescent="0.2">
      <c r="A90" t="s">
        <v>214</v>
      </c>
      <c r="B90" t="s">
        <v>89</v>
      </c>
      <c r="C90" t="s">
        <v>23</v>
      </c>
      <c r="D90">
        <v>1</v>
      </c>
      <c r="E90">
        <v>0</v>
      </c>
      <c r="H90" s="1"/>
    </row>
    <row r="91" spans="1:8" x14ac:dyDescent="0.2">
      <c r="A91" t="s">
        <v>215</v>
      </c>
      <c r="B91" t="s">
        <v>216</v>
      </c>
      <c r="C91" t="s">
        <v>23</v>
      </c>
      <c r="D91">
        <v>2</v>
      </c>
      <c r="E91">
        <v>0</v>
      </c>
      <c r="H91" s="1"/>
    </row>
    <row r="92" spans="1:8" x14ac:dyDescent="0.2">
      <c r="A92" t="s">
        <v>217</v>
      </c>
      <c r="B92" t="s">
        <v>95</v>
      </c>
      <c r="C92" t="s">
        <v>23</v>
      </c>
      <c r="D92">
        <v>1</v>
      </c>
      <c r="E92">
        <v>0</v>
      </c>
      <c r="H92" s="1"/>
    </row>
    <row r="93" spans="1:8" x14ac:dyDescent="0.2">
      <c r="A93" t="s">
        <v>218</v>
      </c>
      <c r="B93" t="s">
        <v>78</v>
      </c>
      <c r="C93" t="s">
        <v>23</v>
      </c>
      <c r="D93">
        <v>2</v>
      </c>
      <c r="E93">
        <v>0</v>
      </c>
      <c r="H93" s="1"/>
    </row>
    <row r="94" spans="1:8" x14ac:dyDescent="0.2">
      <c r="A94" t="s">
        <v>218</v>
      </c>
      <c r="B94" t="s">
        <v>134</v>
      </c>
      <c r="C94" t="s">
        <v>23</v>
      </c>
      <c r="D94">
        <v>2</v>
      </c>
      <c r="E94">
        <v>0</v>
      </c>
      <c r="H94" s="1"/>
    </row>
    <row r="95" spans="1:8" x14ac:dyDescent="0.2">
      <c r="A95" t="s">
        <v>156</v>
      </c>
      <c r="B95" t="s">
        <v>134</v>
      </c>
      <c r="C95" t="s">
        <v>23</v>
      </c>
      <c r="D95">
        <v>6</v>
      </c>
      <c r="E95">
        <v>2.5</v>
      </c>
    </row>
    <row r="96" spans="1:8" x14ac:dyDescent="0.2">
      <c r="A96" t="s">
        <v>219</v>
      </c>
      <c r="B96" t="s">
        <v>134</v>
      </c>
      <c r="C96" t="s">
        <v>23</v>
      </c>
      <c r="D96">
        <v>16</v>
      </c>
      <c r="E96">
        <v>5.5</v>
      </c>
      <c r="H96" s="1"/>
    </row>
    <row r="97" spans="1:8" x14ac:dyDescent="0.2">
      <c r="A97" t="s">
        <v>220</v>
      </c>
      <c r="B97" t="s">
        <v>134</v>
      </c>
      <c r="C97" t="s">
        <v>23</v>
      </c>
      <c r="D97">
        <v>1</v>
      </c>
      <c r="E97">
        <v>2.5</v>
      </c>
      <c r="H97" s="1"/>
    </row>
    <row r="98" spans="1:8" x14ac:dyDescent="0.2">
      <c r="A98" t="s">
        <v>221</v>
      </c>
      <c r="B98" t="s">
        <v>222</v>
      </c>
      <c r="C98" t="s">
        <v>23</v>
      </c>
      <c r="D98">
        <v>1</v>
      </c>
      <c r="E98">
        <v>0</v>
      </c>
      <c r="H98" s="1"/>
    </row>
    <row r="99" spans="1:8" x14ac:dyDescent="0.2">
      <c r="A99" t="s">
        <v>157</v>
      </c>
      <c r="B99" t="s">
        <v>158</v>
      </c>
      <c r="C99" t="s">
        <v>23</v>
      </c>
      <c r="D99">
        <v>3</v>
      </c>
      <c r="E99">
        <v>1</v>
      </c>
      <c r="H99" s="1"/>
    </row>
    <row r="100" spans="1:8" x14ac:dyDescent="0.2">
      <c r="A100" t="s">
        <v>157</v>
      </c>
      <c r="B100" t="s">
        <v>32</v>
      </c>
      <c r="C100" t="s">
        <v>23</v>
      </c>
      <c r="D100">
        <v>4</v>
      </c>
      <c r="E100">
        <v>1.25</v>
      </c>
      <c r="H100" s="1"/>
    </row>
    <row r="101" spans="1:8" x14ac:dyDescent="0.2">
      <c r="A101" t="s">
        <v>157</v>
      </c>
      <c r="B101" t="s">
        <v>88</v>
      </c>
      <c r="C101" t="s">
        <v>23</v>
      </c>
      <c r="D101">
        <v>1</v>
      </c>
      <c r="E101">
        <v>2.5</v>
      </c>
      <c r="H101" s="1"/>
    </row>
    <row r="102" spans="1:8" x14ac:dyDescent="0.2">
      <c r="A102" t="s">
        <v>157</v>
      </c>
      <c r="B102" t="s">
        <v>31</v>
      </c>
      <c r="C102" t="s">
        <v>23</v>
      </c>
      <c r="D102">
        <v>2</v>
      </c>
      <c r="E102">
        <v>0</v>
      </c>
      <c r="H102" s="1"/>
    </row>
    <row r="103" spans="1:8" x14ac:dyDescent="0.2">
      <c r="A103" t="s">
        <v>223</v>
      </c>
      <c r="B103" t="s">
        <v>224</v>
      </c>
      <c r="C103" t="s">
        <v>23</v>
      </c>
      <c r="D103">
        <v>2</v>
      </c>
      <c r="E103">
        <v>7.5</v>
      </c>
      <c r="H103" s="1"/>
    </row>
    <row r="104" spans="1:8" x14ac:dyDescent="0.2">
      <c r="A104" t="s">
        <v>225</v>
      </c>
      <c r="B104" t="s">
        <v>224</v>
      </c>
      <c r="C104" t="s">
        <v>23</v>
      </c>
      <c r="D104">
        <v>1</v>
      </c>
      <c r="E104">
        <v>2.5</v>
      </c>
      <c r="H104" s="1"/>
    </row>
    <row r="105" spans="1:8" x14ac:dyDescent="0.2">
      <c r="A105" t="s">
        <v>226</v>
      </c>
      <c r="B105" t="s">
        <v>96</v>
      </c>
      <c r="C105" t="s">
        <v>23</v>
      </c>
      <c r="D105">
        <v>1</v>
      </c>
      <c r="E105">
        <v>2.5</v>
      </c>
      <c r="H105" s="1"/>
    </row>
    <row r="106" spans="1:8" x14ac:dyDescent="0.2">
      <c r="A106" t="s">
        <v>227</v>
      </c>
      <c r="B106" t="s">
        <v>56</v>
      </c>
      <c r="C106" t="s">
        <v>23</v>
      </c>
      <c r="D106">
        <v>1</v>
      </c>
      <c r="E106">
        <v>5</v>
      </c>
      <c r="H106" s="1"/>
    </row>
    <row r="107" spans="1:8" x14ac:dyDescent="0.2">
      <c r="A107" t="s">
        <v>228</v>
      </c>
      <c r="B107" t="s">
        <v>56</v>
      </c>
      <c r="C107" t="s">
        <v>23</v>
      </c>
      <c r="D107">
        <v>1</v>
      </c>
      <c r="E107">
        <v>0</v>
      </c>
      <c r="H107" s="1"/>
    </row>
    <row r="108" spans="1:8" x14ac:dyDescent="0.2">
      <c r="A108" t="s">
        <v>229</v>
      </c>
      <c r="B108" t="s">
        <v>56</v>
      </c>
      <c r="C108" t="s">
        <v>23</v>
      </c>
      <c r="D108">
        <v>1</v>
      </c>
      <c r="E108">
        <v>35</v>
      </c>
      <c r="H108" s="1"/>
    </row>
    <row r="109" spans="1:8" x14ac:dyDescent="0.2">
      <c r="A109" t="s">
        <v>230</v>
      </c>
      <c r="B109" t="s">
        <v>56</v>
      </c>
      <c r="C109" t="s">
        <v>23</v>
      </c>
      <c r="D109">
        <v>1</v>
      </c>
      <c r="E109">
        <v>0</v>
      </c>
      <c r="H109" s="1"/>
    </row>
    <row r="110" spans="1:8" x14ac:dyDescent="0.2">
      <c r="A110" t="s">
        <v>231</v>
      </c>
      <c r="B110" t="s">
        <v>56</v>
      </c>
      <c r="C110" t="s">
        <v>23</v>
      </c>
      <c r="D110">
        <v>3</v>
      </c>
      <c r="E110">
        <v>35</v>
      </c>
    </row>
    <row r="111" spans="1:8" x14ac:dyDescent="0.2">
      <c r="A111" t="s">
        <v>232</v>
      </c>
      <c r="B111" t="s">
        <v>56</v>
      </c>
      <c r="C111" t="s">
        <v>23</v>
      </c>
      <c r="D111">
        <v>1</v>
      </c>
      <c r="E111">
        <v>0</v>
      </c>
    </row>
    <row r="112" spans="1:8" x14ac:dyDescent="0.2">
      <c r="A112" t="s">
        <v>233</v>
      </c>
      <c r="B112" t="s">
        <v>56</v>
      </c>
      <c r="C112" t="s">
        <v>23</v>
      </c>
      <c r="D112">
        <v>1</v>
      </c>
      <c r="E112">
        <v>35</v>
      </c>
    </row>
    <row r="113" spans="1:5" x14ac:dyDescent="0.2">
      <c r="A113" t="s">
        <v>234</v>
      </c>
      <c r="B113" t="s">
        <v>56</v>
      </c>
      <c r="C113" t="s">
        <v>23</v>
      </c>
      <c r="D113">
        <v>1</v>
      </c>
      <c r="E113">
        <v>0</v>
      </c>
    </row>
    <row r="114" spans="1:5" x14ac:dyDescent="0.2">
      <c r="A114" t="s">
        <v>235</v>
      </c>
      <c r="B114" t="s">
        <v>56</v>
      </c>
      <c r="C114" t="s">
        <v>23</v>
      </c>
      <c r="D114">
        <v>2</v>
      </c>
      <c r="E114">
        <v>35</v>
      </c>
    </row>
    <row r="115" spans="1:5" x14ac:dyDescent="0.2">
      <c r="A115" t="s">
        <v>236</v>
      </c>
      <c r="B115" t="s">
        <v>56</v>
      </c>
      <c r="C115" t="s">
        <v>23</v>
      </c>
      <c r="D115">
        <v>1</v>
      </c>
      <c r="E115">
        <v>0</v>
      </c>
    </row>
    <row r="116" spans="1:5" x14ac:dyDescent="0.2">
      <c r="A116" t="s">
        <v>237</v>
      </c>
      <c r="B116" t="s">
        <v>65</v>
      </c>
      <c r="C116" t="s">
        <v>23</v>
      </c>
      <c r="D116">
        <v>2</v>
      </c>
      <c r="E116">
        <v>0</v>
      </c>
    </row>
    <row r="117" spans="1:5" x14ac:dyDescent="0.2">
      <c r="A117" t="s">
        <v>237</v>
      </c>
      <c r="B117" t="s">
        <v>37</v>
      </c>
      <c r="C117" t="s">
        <v>23</v>
      </c>
      <c r="D117">
        <v>2</v>
      </c>
      <c r="E117">
        <v>0</v>
      </c>
    </row>
    <row r="118" spans="1:5" x14ac:dyDescent="0.2">
      <c r="A118" t="s">
        <v>238</v>
      </c>
      <c r="B118" t="s">
        <v>45</v>
      </c>
      <c r="C118" t="s">
        <v>23</v>
      </c>
      <c r="D118">
        <v>2</v>
      </c>
      <c r="E118">
        <v>0</v>
      </c>
    </row>
    <row r="119" spans="1:5" x14ac:dyDescent="0.2">
      <c r="A119" t="s">
        <v>239</v>
      </c>
      <c r="B119" t="s">
        <v>45</v>
      </c>
      <c r="C119" t="s">
        <v>23</v>
      </c>
      <c r="D119">
        <v>9</v>
      </c>
      <c r="E119">
        <v>2.5</v>
      </c>
    </row>
    <row r="120" spans="1:5" x14ac:dyDescent="0.2">
      <c r="A120" t="s">
        <v>240</v>
      </c>
      <c r="B120" t="s">
        <v>45</v>
      </c>
      <c r="C120" t="s">
        <v>23</v>
      </c>
      <c r="D120">
        <v>2</v>
      </c>
      <c r="E120">
        <v>2.5</v>
      </c>
    </row>
    <row r="121" spans="1:5" x14ac:dyDescent="0.2">
      <c r="A121" t="s">
        <v>241</v>
      </c>
      <c r="B121" t="s">
        <v>45</v>
      </c>
      <c r="C121" t="s">
        <v>23</v>
      </c>
      <c r="D121">
        <v>1</v>
      </c>
      <c r="E121">
        <v>2.5</v>
      </c>
    </row>
    <row r="122" spans="1:5" x14ac:dyDescent="0.2">
      <c r="A122" t="s">
        <v>242</v>
      </c>
      <c r="B122" t="s">
        <v>243</v>
      </c>
      <c r="C122" t="s">
        <v>23</v>
      </c>
      <c r="D122">
        <v>1</v>
      </c>
      <c r="E122">
        <v>0</v>
      </c>
    </row>
    <row r="123" spans="1:5" x14ac:dyDescent="0.2">
      <c r="A123" t="s">
        <v>244</v>
      </c>
      <c r="B123" t="s">
        <v>245</v>
      </c>
      <c r="C123" t="s">
        <v>23</v>
      </c>
      <c r="D123">
        <v>1</v>
      </c>
      <c r="E123">
        <v>0</v>
      </c>
    </row>
    <row r="124" spans="1:5" x14ac:dyDescent="0.2">
      <c r="A124" t="s">
        <v>246</v>
      </c>
      <c r="B124" t="s">
        <v>294</v>
      </c>
      <c r="C124" t="s">
        <v>23</v>
      </c>
      <c r="D124">
        <v>1</v>
      </c>
      <c r="E124">
        <v>0</v>
      </c>
    </row>
    <row r="125" spans="1:5" x14ac:dyDescent="0.2">
      <c r="A125" t="s">
        <v>247</v>
      </c>
      <c r="B125" t="s">
        <v>295</v>
      </c>
      <c r="C125" t="s">
        <v>23</v>
      </c>
      <c r="D125">
        <v>1</v>
      </c>
      <c r="E125">
        <v>2.5</v>
      </c>
    </row>
    <row r="126" spans="1:5" x14ac:dyDescent="0.2">
      <c r="A126" t="s">
        <v>248</v>
      </c>
      <c r="B126" t="s">
        <v>295</v>
      </c>
      <c r="C126" t="s">
        <v>23</v>
      </c>
      <c r="D126">
        <v>1</v>
      </c>
      <c r="E126">
        <v>2.5</v>
      </c>
    </row>
    <row r="127" spans="1:5" x14ac:dyDescent="0.2">
      <c r="A127" t="s">
        <v>249</v>
      </c>
      <c r="B127" t="s">
        <v>295</v>
      </c>
      <c r="C127" t="s">
        <v>23</v>
      </c>
      <c r="D127">
        <v>1</v>
      </c>
      <c r="E127">
        <v>0</v>
      </c>
    </row>
    <row r="128" spans="1:5" x14ac:dyDescent="0.2">
      <c r="A128" t="s">
        <v>250</v>
      </c>
      <c r="B128" t="s">
        <v>37</v>
      </c>
      <c r="C128" t="s">
        <v>23</v>
      </c>
      <c r="D128">
        <v>1</v>
      </c>
      <c r="E128">
        <v>0</v>
      </c>
    </row>
    <row r="129" spans="1:5" x14ac:dyDescent="0.2">
      <c r="A129" t="s">
        <v>251</v>
      </c>
      <c r="B129" t="s">
        <v>37</v>
      </c>
      <c r="C129" t="s">
        <v>23</v>
      </c>
      <c r="D129">
        <v>1</v>
      </c>
      <c r="E129">
        <v>0</v>
      </c>
    </row>
    <row r="130" spans="1:5" x14ac:dyDescent="0.2">
      <c r="A130" t="s">
        <v>252</v>
      </c>
      <c r="B130" t="s">
        <v>37</v>
      </c>
      <c r="C130" t="s">
        <v>23</v>
      </c>
      <c r="D130">
        <v>1</v>
      </c>
      <c r="E130">
        <v>0</v>
      </c>
    </row>
    <row r="131" spans="1:5" x14ac:dyDescent="0.2">
      <c r="A131" t="s">
        <v>253</v>
      </c>
      <c r="B131" t="s">
        <v>37</v>
      </c>
      <c r="C131" t="s">
        <v>23</v>
      </c>
      <c r="D131">
        <v>2</v>
      </c>
      <c r="E131">
        <v>0</v>
      </c>
    </row>
    <row r="132" spans="1:5" x14ac:dyDescent="0.2">
      <c r="A132" t="s">
        <v>254</v>
      </c>
      <c r="B132" t="s">
        <v>37</v>
      </c>
      <c r="C132" t="s">
        <v>23</v>
      </c>
      <c r="D132">
        <v>2</v>
      </c>
      <c r="E132">
        <v>0</v>
      </c>
    </row>
    <row r="133" spans="1:5" x14ac:dyDescent="0.2">
      <c r="A133" t="s">
        <v>255</v>
      </c>
      <c r="B133" t="s">
        <v>37</v>
      </c>
      <c r="C133" t="s">
        <v>23</v>
      </c>
      <c r="D133">
        <v>1</v>
      </c>
      <c r="E133">
        <v>2.5</v>
      </c>
    </row>
    <row r="134" spans="1:5" x14ac:dyDescent="0.2">
      <c r="A134" t="s">
        <v>256</v>
      </c>
      <c r="B134" t="s">
        <v>37</v>
      </c>
      <c r="C134" t="s">
        <v>23</v>
      </c>
      <c r="D134">
        <v>2</v>
      </c>
      <c r="E134">
        <v>0</v>
      </c>
    </row>
    <row r="135" spans="1:5" x14ac:dyDescent="0.2">
      <c r="A135" t="s">
        <v>257</v>
      </c>
      <c r="B135" t="s">
        <v>65</v>
      </c>
      <c r="C135" t="s">
        <v>23</v>
      </c>
      <c r="D135">
        <v>2</v>
      </c>
      <c r="E135">
        <v>0</v>
      </c>
    </row>
    <row r="136" spans="1:5" x14ac:dyDescent="0.2">
      <c r="A136" t="s">
        <v>258</v>
      </c>
      <c r="B136" t="s">
        <v>65</v>
      </c>
      <c r="C136" t="s">
        <v>23</v>
      </c>
      <c r="D136">
        <v>2</v>
      </c>
      <c r="E136">
        <v>0</v>
      </c>
    </row>
    <row r="137" spans="1:5" x14ac:dyDescent="0.2">
      <c r="A137" t="s">
        <v>258</v>
      </c>
      <c r="B137" t="s">
        <v>88</v>
      </c>
      <c r="C137" t="s">
        <v>23</v>
      </c>
      <c r="D137">
        <v>2</v>
      </c>
      <c r="E137">
        <v>0</v>
      </c>
    </row>
    <row r="138" spans="1:5" x14ac:dyDescent="0.2">
      <c r="A138" t="s">
        <v>159</v>
      </c>
      <c r="B138" t="s">
        <v>66</v>
      </c>
      <c r="C138" t="s">
        <v>23</v>
      </c>
      <c r="D138">
        <v>2</v>
      </c>
      <c r="E138">
        <v>0</v>
      </c>
    </row>
    <row r="139" spans="1:5" x14ac:dyDescent="0.2">
      <c r="A139" t="s">
        <v>259</v>
      </c>
      <c r="B139" t="s">
        <v>66</v>
      </c>
      <c r="C139" t="s">
        <v>23</v>
      </c>
      <c r="D139">
        <v>2</v>
      </c>
      <c r="E139">
        <v>7.5</v>
      </c>
    </row>
    <row r="140" spans="1:5" x14ac:dyDescent="0.2">
      <c r="A140" t="s">
        <v>260</v>
      </c>
      <c r="B140" t="s">
        <v>66</v>
      </c>
      <c r="C140" t="s">
        <v>23</v>
      </c>
      <c r="D140">
        <v>2</v>
      </c>
      <c r="E140">
        <v>0</v>
      </c>
    </row>
    <row r="141" spans="1:5" x14ac:dyDescent="0.2">
      <c r="A141" t="s">
        <v>261</v>
      </c>
      <c r="B141" t="s">
        <v>66</v>
      </c>
      <c r="C141" t="s">
        <v>23</v>
      </c>
      <c r="D141">
        <v>2</v>
      </c>
      <c r="E141">
        <v>7.5</v>
      </c>
    </row>
    <row r="142" spans="1:5" x14ac:dyDescent="0.2">
      <c r="A142" t="s">
        <v>160</v>
      </c>
      <c r="B142" t="s">
        <v>66</v>
      </c>
      <c r="C142" t="s">
        <v>23</v>
      </c>
      <c r="D142">
        <v>2</v>
      </c>
      <c r="E142">
        <v>7.5</v>
      </c>
    </row>
    <row r="143" spans="1:5" x14ac:dyDescent="0.2">
      <c r="A143" t="s">
        <v>262</v>
      </c>
      <c r="B143" t="s">
        <v>66</v>
      </c>
      <c r="C143" t="s">
        <v>23</v>
      </c>
      <c r="D143">
        <v>2</v>
      </c>
      <c r="E143">
        <v>0</v>
      </c>
    </row>
    <row r="144" spans="1:5" x14ac:dyDescent="0.2">
      <c r="A144" t="s">
        <v>263</v>
      </c>
      <c r="B144" t="s">
        <v>66</v>
      </c>
      <c r="C144" t="s">
        <v>23</v>
      </c>
      <c r="D144">
        <v>1</v>
      </c>
      <c r="E144">
        <v>0</v>
      </c>
    </row>
    <row r="145" spans="1:5" x14ac:dyDescent="0.2">
      <c r="A145" t="s">
        <v>264</v>
      </c>
      <c r="B145" t="s">
        <v>64</v>
      </c>
      <c r="C145" t="s">
        <v>23</v>
      </c>
      <c r="D145">
        <v>1</v>
      </c>
      <c r="E145">
        <v>0</v>
      </c>
    </row>
    <row r="146" spans="1:5" x14ac:dyDescent="0.2">
      <c r="A146" t="s">
        <v>265</v>
      </c>
      <c r="B146" t="s">
        <v>51</v>
      </c>
      <c r="C146" t="s">
        <v>23</v>
      </c>
      <c r="D146">
        <v>1</v>
      </c>
      <c r="E146">
        <v>2.5</v>
      </c>
    </row>
    <row r="147" spans="1:5" x14ac:dyDescent="0.2">
      <c r="A147" t="s">
        <v>266</v>
      </c>
      <c r="B147" t="s">
        <v>51</v>
      </c>
      <c r="C147" t="s">
        <v>23</v>
      </c>
      <c r="D147">
        <v>1</v>
      </c>
      <c r="E147">
        <v>0</v>
      </c>
    </row>
    <row r="148" spans="1:5" x14ac:dyDescent="0.2">
      <c r="A148" t="s">
        <v>161</v>
      </c>
      <c r="B148" t="s">
        <v>51</v>
      </c>
      <c r="C148" t="s">
        <v>23</v>
      </c>
      <c r="D148">
        <v>1</v>
      </c>
      <c r="E148">
        <v>0</v>
      </c>
    </row>
    <row r="149" spans="1:5" x14ac:dyDescent="0.2">
      <c r="A149" t="s">
        <v>267</v>
      </c>
      <c r="B149" t="s">
        <v>122</v>
      </c>
      <c r="C149" t="s">
        <v>23</v>
      </c>
      <c r="D149">
        <v>8</v>
      </c>
      <c r="E149">
        <v>2.5</v>
      </c>
    </row>
    <row r="150" spans="1:5" x14ac:dyDescent="0.2">
      <c r="A150" t="s">
        <v>268</v>
      </c>
      <c r="B150" t="s">
        <v>122</v>
      </c>
      <c r="C150" t="s">
        <v>23</v>
      </c>
      <c r="D150">
        <v>1</v>
      </c>
      <c r="E150">
        <v>2.5</v>
      </c>
    </row>
    <row r="151" spans="1:5" x14ac:dyDescent="0.2">
      <c r="A151" t="s">
        <v>269</v>
      </c>
      <c r="B151" t="s">
        <v>122</v>
      </c>
      <c r="C151" t="s">
        <v>23</v>
      </c>
      <c r="D151">
        <v>3</v>
      </c>
      <c r="E151">
        <v>7.5</v>
      </c>
    </row>
    <row r="152" spans="1:5" x14ac:dyDescent="0.2">
      <c r="A152" t="s">
        <v>270</v>
      </c>
      <c r="B152" t="s">
        <v>122</v>
      </c>
      <c r="C152" t="s">
        <v>23</v>
      </c>
      <c r="D152">
        <v>1</v>
      </c>
      <c r="E152">
        <v>2.5</v>
      </c>
    </row>
    <row r="153" spans="1:5" x14ac:dyDescent="0.2">
      <c r="A153" t="s">
        <v>271</v>
      </c>
      <c r="B153" t="s">
        <v>272</v>
      </c>
      <c r="C153" t="s">
        <v>23</v>
      </c>
      <c r="D153">
        <v>2</v>
      </c>
      <c r="E153">
        <v>2.5</v>
      </c>
    </row>
    <row r="154" spans="1:5" x14ac:dyDescent="0.2">
      <c r="A154" t="s">
        <v>273</v>
      </c>
      <c r="B154" t="s">
        <v>124</v>
      </c>
      <c r="C154" t="s">
        <v>23</v>
      </c>
      <c r="D154">
        <v>1</v>
      </c>
      <c r="E154">
        <v>2.5</v>
      </c>
    </row>
    <row r="155" spans="1:5" x14ac:dyDescent="0.2">
      <c r="A155" t="s">
        <v>274</v>
      </c>
      <c r="B155" t="s">
        <v>296</v>
      </c>
      <c r="C155" t="s">
        <v>23</v>
      </c>
      <c r="D155">
        <v>2</v>
      </c>
      <c r="E155">
        <v>0</v>
      </c>
    </row>
    <row r="156" spans="1:5" x14ac:dyDescent="0.2">
      <c r="A156" t="s">
        <v>275</v>
      </c>
      <c r="B156" t="s">
        <v>134</v>
      </c>
      <c r="C156" t="s">
        <v>23</v>
      </c>
      <c r="D156">
        <v>2</v>
      </c>
      <c r="E156">
        <v>0</v>
      </c>
    </row>
    <row r="157" spans="1:5" x14ac:dyDescent="0.2">
      <c r="A157" t="s">
        <v>276</v>
      </c>
      <c r="B157" t="s">
        <v>162</v>
      </c>
      <c r="C157" t="s">
        <v>23</v>
      </c>
      <c r="D157">
        <v>2</v>
      </c>
      <c r="E157">
        <v>0</v>
      </c>
    </row>
    <row r="158" spans="1:5" x14ac:dyDescent="0.2">
      <c r="A158" t="s">
        <v>277</v>
      </c>
      <c r="B158" t="s">
        <v>297</v>
      </c>
      <c r="C158" t="s">
        <v>23</v>
      </c>
      <c r="D158">
        <v>2</v>
      </c>
      <c r="E158">
        <v>0</v>
      </c>
    </row>
    <row r="159" spans="1:5" x14ac:dyDescent="0.2">
      <c r="A159" t="s">
        <v>125</v>
      </c>
      <c r="B159" t="s">
        <v>54</v>
      </c>
      <c r="C159" t="s">
        <v>23</v>
      </c>
      <c r="D159">
        <v>2</v>
      </c>
      <c r="E159">
        <v>0</v>
      </c>
    </row>
    <row r="160" spans="1:5" x14ac:dyDescent="0.2">
      <c r="A160" t="s">
        <v>278</v>
      </c>
      <c r="B160" t="s">
        <v>55</v>
      </c>
      <c r="C160" t="s">
        <v>23</v>
      </c>
      <c r="D160">
        <v>7</v>
      </c>
      <c r="E160">
        <v>7.5</v>
      </c>
    </row>
    <row r="161" spans="1:5" x14ac:dyDescent="0.2">
      <c r="A161" t="s">
        <v>279</v>
      </c>
      <c r="B161" t="s">
        <v>55</v>
      </c>
      <c r="C161" t="s">
        <v>23</v>
      </c>
      <c r="D161">
        <v>1</v>
      </c>
      <c r="E161">
        <v>0</v>
      </c>
    </row>
    <row r="162" spans="1:5" x14ac:dyDescent="0.2">
      <c r="A162" t="s">
        <v>280</v>
      </c>
      <c r="B162" t="s">
        <v>55</v>
      </c>
      <c r="C162" t="s">
        <v>23</v>
      </c>
      <c r="D162">
        <v>1</v>
      </c>
      <c r="E162">
        <v>0</v>
      </c>
    </row>
    <row r="163" spans="1:5" x14ac:dyDescent="0.2">
      <c r="A163" t="s">
        <v>281</v>
      </c>
      <c r="B163" t="s">
        <v>55</v>
      </c>
      <c r="C163" t="s">
        <v>23</v>
      </c>
      <c r="D163">
        <v>1</v>
      </c>
      <c r="E163">
        <v>0</v>
      </c>
    </row>
    <row r="164" spans="1:5" x14ac:dyDescent="0.2">
      <c r="A164" t="s">
        <v>282</v>
      </c>
      <c r="B164" t="s">
        <v>95</v>
      </c>
      <c r="C164" t="s">
        <v>23</v>
      </c>
      <c r="D164">
        <v>1</v>
      </c>
      <c r="E164">
        <v>0</v>
      </c>
    </row>
    <row r="165" spans="1:5" x14ac:dyDescent="0.2">
      <c r="A165" t="s">
        <v>283</v>
      </c>
      <c r="B165" t="s">
        <v>95</v>
      </c>
      <c r="C165" t="s">
        <v>23</v>
      </c>
      <c r="D165">
        <v>1</v>
      </c>
      <c r="E165">
        <v>0</v>
      </c>
    </row>
    <row r="166" spans="1:5" x14ac:dyDescent="0.2">
      <c r="A166" t="s">
        <v>284</v>
      </c>
      <c r="B166" t="s">
        <v>285</v>
      </c>
      <c r="C166" t="s">
        <v>23</v>
      </c>
      <c r="D166">
        <v>1</v>
      </c>
      <c r="E166">
        <v>0</v>
      </c>
    </row>
    <row r="167" spans="1:5" x14ac:dyDescent="0.2">
      <c r="A167" t="s">
        <v>164</v>
      </c>
      <c r="B167" t="s">
        <v>163</v>
      </c>
      <c r="C167" t="s">
        <v>23</v>
      </c>
      <c r="D167">
        <v>1</v>
      </c>
      <c r="E167">
        <v>2.5</v>
      </c>
    </row>
    <row r="168" spans="1:5" x14ac:dyDescent="0.2">
      <c r="A168" t="s">
        <v>286</v>
      </c>
      <c r="B168" t="s">
        <v>163</v>
      </c>
      <c r="C168" t="s">
        <v>23</v>
      </c>
      <c r="D168">
        <v>2</v>
      </c>
      <c r="E168">
        <v>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9"/>
  <sheetViews>
    <sheetView topLeftCell="A9" zoomScale="110" zoomScaleNormal="110" workbookViewId="0">
      <selection activeCell="E22" sqref="A22:E22"/>
    </sheetView>
  </sheetViews>
  <sheetFormatPr baseColWidth="10" defaultColWidth="8.83203125" defaultRowHeight="15" x14ac:dyDescent="0.2"/>
  <cols>
    <col min="1" max="1" width="62.1640625" bestFit="1" customWidth="1"/>
    <col min="2" max="2" width="44.5" bestFit="1" customWidth="1"/>
    <col min="3" max="3" width="19.5" bestFit="1" customWidth="1"/>
    <col min="4" max="4" width="10.5" bestFit="1" customWidth="1"/>
    <col min="5" max="5" width="16.33203125" bestFit="1" customWidth="1"/>
    <col min="8" max="8" width="43.5" customWidth="1"/>
  </cols>
  <sheetData>
    <row r="1" spans="1:12" x14ac:dyDescent="0.2">
      <c r="A1" t="s">
        <v>18</v>
      </c>
      <c r="B1" t="s">
        <v>19</v>
      </c>
      <c r="C1" t="s">
        <v>20</v>
      </c>
      <c r="D1" t="s">
        <v>165</v>
      </c>
      <c r="E1" t="s">
        <v>21</v>
      </c>
      <c r="L1" s="47" t="s">
        <v>359</v>
      </c>
    </row>
    <row r="2" spans="1:12" ht="16" x14ac:dyDescent="0.2">
      <c r="A2" t="s">
        <v>169</v>
      </c>
      <c r="B2" t="s">
        <v>166</v>
      </c>
      <c r="C2" t="s">
        <v>23</v>
      </c>
      <c r="D2">
        <v>1</v>
      </c>
      <c r="E2">
        <v>0</v>
      </c>
      <c r="H2" s="1" t="s">
        <v>35</v>
      </c>
      <c r="I2" t="e">
        <f t="shared" ref="I2:I45" si="0">AVERAGEIF($B$2:$B$167,H2,$E$2:$E$167)</f>
        <v>#DIV/0!</v>
      </c>
    </row>
    <row r="3" spans="1:12" ht="16" x14ac:dyDescent="0.2">
      <c r="A3" t="s">
        <v>299</v>
      </c>
      <c r="B3" t="s">
        <v>166</v>
      </c>
      <c r="C3" t="s">
        <v>23</v>
      </c>
      <c r="D3">
        <v>1</v>
      </c>
      <c r="E3">
        <v>16</v>
      </c>
      <c r="H3" s="1" t="s">
        <v>166</v>
      </c>
      <c r="I3">
        <f t="shared" si="0"/>
        <v>13.833333333333334</v>
      </c>
      <c r="L3" s="47" t="s">
        <v>360</v>
      </c>
    </row>
    <row r="4" spans="1:12" ht="16" x14ac:dyDescent="0.2">
      <c r="A4" t="s">
        <v>300</v>
      </c>
      <c r="B4" t="s">
        <v>166</v>
      </c>
      <c r="C4" t="s">
        <v>23</v>
      </c>
      <c r="D4">
        <v>1</v>
      </c>
      <c r="E4">
        <v>2</v>
      </c>
      <c r="H4" s="1" t="s">
        <v>43</v>
      </c>
      <c r="I4">
        <f t="shared" si="0"/>
        <v>0</v>
      </c>
    </row>
    <row r="5" spans="1:12" ht="16" x14ac:dyDescent="0.2">
      <c r="A5" t="s">
        <v>170</v>
      </c>
      <c r="B5" t="s">
        <v>166</v>
      </c>
      <c r="C5" t="s">
        <v>23</v>
      </c>
      <c r="D5">
        <v>1</v>
      </c>
      <c r="E5">
        <v>2</v>
      </c>
      <c r="H5" s="1" t="s">
        <v>61</v>
      </c>
      <c r="I5" t="e">
        <f t="shared" si="0"/>
        <v>#DIV/0!</v>
      </c>
    </row>
    <row r="6" spans="1:12" ht="16" x14ac:dyDescent="0.2">
      <c r="A6" t="s">
        <v>301</v>
      </c>
      <c r="B6" t="s">
        <v>166</v>
      </c>
      <c r="C6" t="s">
        <v>23</v>
      </c>
      <c r="D6">
        <v>1</v>
      </c>
      <c r="E6">
        <v>2</v>
      </c>
      <c r="H6" s="1" t="s">
        <v>60</v>
      </c>
      <c r="I6" t="e">
        <f t="shared" si="0"/>
        <v>#DIV/0!</v>
      </c>
    </row>
    <row r="7" spans="1:12" ht="16" x14ac:dyDescent="0.2">
      <c r="A7" t="s">
        <v>302</v>
      </c>
      <c r="B7" t="s">
        <v>166</v>
      </c>
      <c r="C7" t="s">
        <v>23</v>
      </c>
      <c r="D7">
        <v>1</v>
      </c>
      <c r="E7">
        <v>0</v>
      </c>
      <c r="H7" s="1" t="s">
        <v>38</v>
      </c>
      <c r="I7" t="e">
        <f t="shared" si="0"/>
        <v>#DIV/0!</v>
      </c>
    </row>
    <row r="8" spans="1:12" ht="16" x14ac:dyDescent="0.2">
      <c r="A8" t="s">
        <v>303</v>
      </c>
      <c r="B8" t="s">
        <v>166</v>
      </c>
      <c r="C8" t="s">
        <v>23</v>
      </c>
      <c r="D8">
        <v>1</v>
      </c>
      <c r="E8">
        <v>0</v>
      </c>
      <c r="H8" s="1" t="s">
        <v>132</v>
      </c>
      <c r="I8" t="e">
        <f t="shared" si="0"/>
        <v>#DIV/0!</v>
      </c>
    </row>
    <row r="9" spans="1:12" ht="16" x14ac:dyDescent="0.2">
      <c r="A9" t="s">
        <v>139</v>
      </c>
      <c r="B9" t="s">
        <v>166</v>
      </c>
      <c r="C9" t="s">
        <v>23</v>
      </c>
      <c r="D9">
        <v>1</v>
      </c>
      <c r="E9">
        <v>100</v>
      </c>
      <c r="H9" s="1" t="s">
        <v>65</v>
      </c>
      <c r="I9" t="e">
        <f t="shared" si="0"/>
        <v>#DIV/0!</v>
      </c>
    </row>
    <row r="10" spans="1:12" ht="16" x14ac:dyDescent="0.2">
      <c r="A10" t="s">
        <v>171</v>
      </c>
      <c r="B10" t="s">
        <v>43</v>
      </c>
      <c r="C10" t="s">
        <v>23</v>
      </c>
      <c r="D10">
        <v>1</v>
      </c>
      <c r="E10">
        <v>0</v>
      </c>
      <c r="H10" s="1" t="s">
        <v>71</v>
      </c>
      <c r="I10" t="e">
        <f t="shared" si="0"/>
        <v>#DIV/0!</v>
      </c>
    </row>
    <row r="11" spans="1:12" ht="16" x14ac:dyDescent="0.2">
      <c r="A11" t="s">
        <v>140</v>
      </c>
      <c r="B11" t="s">
        <v>43</v>
      </c>
      <c r="C11" t="s">
        <v>23</v>
      </c>
      <c r="D11">
        <v>1</v>
      </c>
      <c r="E11">
        <v>0</v>
      </c>
      <c r="H11" s="1" t="s">
        <v>88</v>
      </c>
      <c r="I11">
        <f t="shared" si="0"/>
        <v>12.5</v>
      </c>
    </row>
    <row r="12" spans="1:12" ht="16" x14ac:dyDescent="0.2">
      <c r="A12" t="s">
        <v>175</v>
      </c>
      <c r="B12" t="s">
        <v>88</v>
      </c>
      <c r="C12" t="s">
        <v>23</v>
      </c>
      <c r="D12">
        <v>1</v>
      </c>
      <c r="E12">
        <v>20</v>
      </c>
      <c r="H12" s="1" t="s">
        <v>25</v>
      </c>
      <c r="I12">
        <f t="shared" si="0"/>
        <v>2</v>
      </c>
    </row>
    <row r="13" spans="1:12" ht="16" x14ac:dyDescent="0.2">
      <c r="A13" t="s">
        <v>304</v>
      </c>
      <c r="B13" t="s">
        <v>88</v>
      </c>
      <c r="C13" t="s">
        <v>23</v>
      </c>
      <c r="D13">
        <v>1</v>
      </c>
      <c r="E13">
        <v>0</v>
      </c>
      <c r="H13" s="1" t="s">
        <v>74</v>
      </c>
      <c r="I13" t="e">
        <f t="shared" si="0"/>
        <v>#DIV/0!</v>
      </c>
    </row>
    <row r="14" spans="1:12" ht="16" x14ac:dyDescent="0.2">
      <c r="A14" t="s">
        <v>305</v>
      </c>
      <c r="B14" t="s">
        <v>88</v>
      </c>
      <c r="C14" t="s">
        <v>23</v>
      </c>
      <c r="D14">
        <v>1</v>
      </c>
      <c r="E14">
        <v>10</v>
      </c>
      <c r="H14" s="1" t="s">
        <v>76</v>
      </c>
      <c r="I14" t="e">
        <f t="shared" si="0"/>
        <v>#DIV/0!</v>
      </c>
    </row>
    <row r="15" spans="1:12" ht="16" x14ac:dyDescent="0.2">
      <c r="A15" t="s">
        <v>306</v>
      </c>
      <c r="B15" t="s">
        <v>88</v>
      </c>
      <c r="C15" t="s">
        <v>23</v>
      </c>
      <c r="D15">
        <v>1</v>
      </c>
      <c r="E15">
        <v>20</v>
      </c>
      <c r="H15" s="1" t="s">
        <v>26</v>
      </c>
      <c r="I15" t="e">
        <f t="shared" si="0"/>
        <v>#DIV/0!</v>
      </c>
    </row>
    <row r="16" spans="1:12" ht="16" x14ac:dyDescent="0.2">
      <c r="A16" t="s">
        <v>307</v>
      </c>
      <c r="B16" t="s">
        <v>25</v>
      </c>
      <c r="C16" t="s">
        <v>23</v>
      </c>
      <c r="D16">
        <v>1</v>
      </c>
      <c r="E16">
        <v>2</v>
      </c>
      <c r="H16" s="1" t="s">
        <v>78</v>
      </c>
      <c r="I16" t="e">
        <f t="shared" si="0"/>
        <v>#DIV/0!</v>
      </c>
    </row>
    <row r="17" spans="1:17" ht="16" x14ac:dyDescent="0.2">
      <c r="A17" t="s">
        <v>195</v>
      </c>
      <c r="B17" t="s">
        <v>27</v>
      </c>
      <c r="C17" t="s">
        <v>23</v>
      </c>
      <c r="D17">
        <v>1</v>
      </c>
      <c r="E17">
        <v>0</v>
      </c>
      <c r="H17" s="1" t="s">
        <v>27</v>
      </c>
      <c r="I17">
        <f t="shared" si="0"/>
        <v>2.0499999999999998</v>
      </c>
    </row>
    <row r="18" spans="1:17" ht="16" x14ac:dyDescent="0.2">
      <c r="A18" t="s">
        <v>308</v>
      </c>
      <c r="B18" t="s">
        <v>27</v>
      </c>
      <c r="C18" t="s">
        <v>23</v>
      </c>
      <c r="D18">
        <v>1</v>
      </c>
      <c r="E18">
        <v>0</v>
      </c>
      <c r="H18" s="1" t="s">
        <v>29</v>
      </c>
      <c r="I18">
        <f t="shared" si="0"/>
        <v>4.833333333333333</v>
      </c>
    </row>
    <row r="19" spans="1:17" ht="16" x14ac:dyDescent="0.2">
      <c r="A19" t="s">
        <v>309</v>
      </c>
      <c r="B19" t="s">
        <v>27</v>
      </c>
      <c r="C19" t="s">
        <v>23</v>
      </c>
      <c r="D19">
        <v>1</v>
      </c>
      <c r="E19">
        <v>8</v>
      </c>
      <c r="H19" s="1" t="s">
        <v>30</v>
      </c>
      <c r="I19">
        <f t="shared" si="0"/>
        <v>24.53</v>
      </c>
    </row>
    <row r="20" spans="1:17" ht="16" x14ac:dyDescent="0.2">
      <c r="A20" t="s">
        <v>143</v>
      </c>
      <c r="B20" t="s">
        <v>27</v>
      </c>
      <c r="C20" t="s">
        <v>23</v>
      </c>
      <c r="D20">
        <v>1</v>
      </c>
      <c r="E20">
        <v>0</v>
      </c>
      <c r="H20" s="1" t="s">
        <v>31</v>
      </c>
      <c r="I20">
        <f t="shared" si="0"/>
        <v>5.5</v>
      </c>
    </row>
    <row r="21" spans="1:17" ht="16" x14ac:dyDescent="0.2">
      <c r="A21" t="s">
        <v>199</v>
      </c>
      <c r="B21" t="s">
        <v>29</v>
      </c>
      <c r="C21" t="s">
        <v>23</v>
      </c>
      <c r="D21">
        <v>1</v>
      </c>
      <c r="E21">
        <v>2</v>
      </c>
      <c r="H21" s="1" t="s">
        <v>86</v>
      </c>
      <c r="I21" t="e">
        <f t="shared" si="0"/>
        <v>#DIV/0!</v>
      </c>
    </row>
    <row r="22" spans="1:17" ht="16" x14ac:dyDescent="0.2">
      <c r="A22" t="s">
        <v>310</v>
      </c>
      <c r="B22" t="s">
        <v>30</v>
      </c>
      <c r="C22" t="s">
        <v>23</v>
      </c>
      <c r="D22">
        <v>1</v>
      </c>
      <c r="E22">
        <v>28</v>
      </c>
      <c r="H22" s="1" t="s">
        <v>32</v>
      </c>
      <c r="I22">
        <f t="shared" si="0"/>
        <v>34.875</v>
      </c>
    </row>
    <row r="23" spans="1:17" ht="16" x14ac:dyDescent="0.2">
      <c r="A23" t="s">
        <v>311</v>
      </c>
      <c r="B23" t="s">
        <v>30</v>
      </c>
      <c r="C23" t="s">
        <v>23</v>
      </c>
      <c r="D23">
        <v>1</v>
      </c>
      <c r="E23">
        <v>20</v>
      </c>
      <c r="H23" s="1" t="s">
        <v>133</v>
      </c>
      <c r="I23">
        <f t="shared" si="0"/>
        <v>1.75</v>
      </c>
    </row>
    <row r="24" spans="1:17" ht="16" x14ac:dyDescent="0.2">
      <c r="A24" t="s">
        <v>312</v>
      </c>
      <c r="B24" t="s">
        <v>30</v>
      </c>
      <c r="C24" t="s">
        <v>23</v>
      </c>
      <c r="D24">
        <v>1</v>
      </c>
      <c r="E24">
        <v>6</v>
      </c>
      <c r="H24" s="1" t="s">
        <v>91</v>
      </c>
      <c r="I24" t="e">
        <f t="shared" si="0"/>
        <v>#DIV/0!</v>
      </c>
      <c r="Q24" s="35"/>
    </row>
    <row r="25" spans="1:17" ht="16" x14ac:dyDescent="0.2">
      <c r="A25" t="s">
        <v>313</v>
      </c>
      <c r="B25" t="s">
        <v>30</v>
      </c>
      <c r="C25" t="s">
        <v>23</v>
      </c>
      <c r="D25">
        <v>1</v>
      </c>
      <c r="E25">
        <v>14</v>
      </c>
      <c r="H25" s="1" t="s">
        <v>134</v>
      </c>
      <c r="I25" t="e">
        <f t="shared" si="0"/>
        <v>#DIV/0!</v>
      </c>
    </row>
    <row r="26" spans="1:17" ht="16" x14ac:dyDescent="0.2">
      <c r="A26" t="s">
        <v>314</v>
      </c>
      <c r="B26" t="s">
        <v>30</v>
      </c>
      <c r="C26" t="s">
        <v>23</v>
      </c>
      <c r="D26">
        <v>1</v>
      </c>
      <c r="E26">
        <v>2</v>
      </c>
      <c r="H26" s="1" t="s">
        <v>96</v>
      </c>
      <c r="I26" t="e">
        <f t="shared" si="0"/>
        <v>#DIV/0!</v>
      </c>
    </row>
    <row r="27" spans="1:17" ht="16" x14ac:dyDescent="0.2">
      <c r="A27" t="s">
        <v>315</v>
      </c>
      <c r="B27" t="s">
        <v>30</v>
      </c>
      <c r="C27" t="s">
        <v>23</v>
      </c>
      <c r="D27">
        <v>1</v>
      </c>
      <c r="E27">
        <v>14</v>
      </c>
      <c r="H27" s="1" t="s">
        <v>135</v>
      </c>
      <c r="I27" t="e">
        <f t="shared" si="0"/>
        <v>#DIV/0!</v>
      </c>
    </row>
    <row r="28" spans="1:17" ht="16" x14ac:dyDescent="0.2">
      <c r="A28" t="s">
        <v>149</v>
      </c>
      <c r="B28" t="s">
        <v>31</v>
      </c>
      <c r="C28" t="s">
        <v>23</v>
      </c>
      <c r="D28">
        <v>1</v>
      </c>
      <c r="E28">
        <v>4</v>
      </c>
      <c r="H28" s="1" t="s">
        <v>56</v>
      </c>
      <c r="I28">
        <f t="shared" si="0"/>
        <v>1.788888888888889</v>
      </c>
    </row>
    <row r="29" spans="1:17" ht="16" x14ac:dyDescent="0.2">
      <c r="A29" t="s">
        <v>150</v>
      </c>
      <c r="B29" t="s">
        <v>31</v>
      </c>
      <c r="C29" t="s">
        <v>23</v>
      </c>
      <c r="D29">
        <v>1</v>
      </c>
      <c r="E29">
        <v>4</v>
      </c>
      <c r="H29" s="1" t="s">
        <v>45</v>
      </c>
      <c r="I29">
        <f t="shared" si="0"/>
        <v>15.25</v>
      </c>
    </row>
    <row r="30" spans="1:17" ht="16" x14ac:dyDescent="0.2">
      <c r="A30" t="s">
        <v>151</v>
      </c>
      <c r="B30" t="s">
        <v>31</v>
      </c>
      <c r="C30" t="s">
        <v>23</v>
      </c>
      <c r="D30">
        <v>1</v>
      </c>
      <c r="E30">
        <v>2</v>
      </c>
      <c r="H30" s="1" t="s">
        <v>103</v>
      </c>
      <c r="I30" t="e">
        <f t="shared" si="0"/>
        <v>#DIV/0!</v>
      </c>
    </row>
    <row r="31" spans="1:17" ht="16" x14ac:dyDescent="0.2">
      <c r="A31" t="s">
        <v>152</v>
      </c>
      <c r="B31" t="s">
        <v>31</v>
      </c>
      <c r="C31" t="s">
        <v>23</v>
      </c>
      <c r="D31">
        <v>1</v>
      </c>
      <c r="E31">
        <v>8</v>
      </c>
      <c r="H31" s="1" t="s">
        <v>107</v>
      </c>
      <c r="I31">
        <f t="shared" si="0"/>
        <v>0</v>
      </c>
    </row>
    <row r="32" spans="1:17" ht="16" x14ac:dyDescent="0.2">
      <c r="A32" t="s">
        <v>316</v>
      </c>
      <c r="B32" t="s">
        <v>49</v>
      </c>
      <c r="C32" t="s">
        <v>23</v>
      </c>
      <c r="D32">
        <v>1</v>
      </c>
      <c r="E32">
        <v>0</v>
      </c>
      <c r="H32" s="1" t="s">
        <v>108</v>
      </c>
      <c r="I32" t="e">
        <f t="shared" si="0"/>
        <v>#DIV/0!</v>
      </c>
    </row>
    <row r="33" spans="1:9" ht="16" x14ac:dyDescent="0.2">
      <c r="A33" t="s">
        <v>212</v>
      </c>
      <c r="B33" t="s">
        <v>341</v>
      </c>
      <c r="C33" t="s">
        <v>23</v>
      </c>
      <c r="D33">
        <v>1</v>
      </c>
      <c r="E33">
        <v>0</v>
      </c>
      <c r="H33" s="1" t="s">
        <v>101</v>
      </c>
      <c r="I33" t="e">
        <f t="shared" si="0"/>
        <v>#DIV/0!</v>
      </c>
    </row>
    <row r="34" spans="1:9" ht="16" x14ac:dyDescent="0.2">
      <c r="A34" t="s">
        <v>212</v>
      </c>
      <c r="B34" t="s">
        <v>133</v>
      </c>
      <c r="C34" t="s">
        <v>23</v>
      </c>
      <c r="D34">
        <v>1</v>
      </c>
      <c r="E34">
        <v>0</v>
      </c>
      <c r="H34" s="1" t="s">
        <v>34</v>
      </c>
      <c r="I34" t="e">
        <f t="shared" si="0"/>
        <v>#DIV/0!</v>
      </c>
    </row>
    <row r="35" spans="1:9" ht="16" x14ac:dyDescent="0.2">
      <c r="A35" t="s">
        <v>91</v>
      </c>
      <c r="B35" t="s">
        <v>93</v>
      </c>
      <c r="C35" t="s">
        <v>23</v>
      </c>
      <c r="D35">
        <v>1</v>
      </c>
      <c r="E35">
        <v>2</v>
      </c>
      <c r="H35" s="1" t="s">
        <v>110</v>
      </c>
      <c r="I35" t="e">
        <f t="shared" si="0"/>
        <v>#DIV/0!</v>
      </c>
    </row>
    <row r="36" spans="1:9" ht="16" x14ac:dyDescent="0.2">
      <c r="A36" t="s">
        <v>317</v>
      </c>
      <c r="B36" t="s">
        <v>56</v>
      </c>
      <c r="C36" t="s">
        <v>23</v>
      </c>
      <c r="D36">
        <v>1</v>
      </c>
      <c r="E36">
        <v>0</v>
      </c>
      <c r="H36" s="1" t="s">
        <v>112</v>
      </c>
      <c r="I36" t="e">
        <f t="shared" si="0"/>
        <v>#DIV/0!</v>
      </c>
    </row>
    <row r="37" spans="1:9" ht="16" x14ac:dyDescent="0.2">
      <c r="A37" t="s">
        <v>318</v>
      </c>
      <c r="B37" t="s">
        <v>56</v>
      </c>
      <c r="C37" t="s">
        <v>23</v>
      </c>
      <c r="D37">
        <v>1</v>
      </c>
      <c r="E37">
        <v>0</v>
      </c>
      <c r="H37" s="1" t="s">
        <v>37</v>
      </c>
      <c r="I37">
        <f t="shared" si="0"/>
        <v>0</v>
      </c>
    </row>
    <row r="38" spans="1:9" ht="16" x14ac:dyDescent="0.2">
      <c r="A38" t="s">
        <v>319</v>
      </c>
      <c r="B38" t="s">
        <v>56</v>
      </c>
      <c r="C38" t="s">
        <v>23</v>
      </c>
      <c r="D38">
        <v>1</v>
      </c>
      <c r="E38">
        <v>0</v>
      </c>
      <c r="H38" s="1" t="s">
        <v>66</v>
      </c>
      <c r="I38" t="e">
        <f t="shared" si="0"/>
        <v>#DIV/0!</v>
      </c>
    </row>
    <row r="39" spans="1:9" ht="16" x14ac:dyDescent="0.2">
      <c r="A39" t="s">
        <v>320</v>
      </c>
      <c r="B39" t="s">
        <v>56</v>
      </c>
      <c r="C39" t="s">
        <v>23</v>
      </c>
      <c r="D39">
        <v>1</v>
      </c>
      <c r="E39">
        <v>0</v>
      </c>
      <c r="H39" s="1" t="s">
        <v>51</v>
      </c>
      <c r="I39" t="e">
        <f t="shared" si="0"/>
        <v>#DIV/0!</v>
      </c>
    </row>
    <row r="40" spans="1:9" ht="16" x14ac:dyDescent="0.2">
      <c r="A40" t="s">
        <v>321</v>
      </c>
      <c r="B40" t="s">
        <v>56</v>
      </c>
      <c r="C40" t="s">
        <v>23</v>
      </c>
      <c r="D40">
        <v>1</v>
      </c>
      <c r="E40">
        <v>4.0999999999999996</v>
      </c>
      <c r="H40" s="1" t="s">
        <v>119</v>
      </c>
      <c r="I40" t="e">
        <f t="shared" si="0"/>
        <v>#DIV/0!</v>
      </c>
    </row>
    <row r="41" spans="1:9" ht="16" x14ac:dyDescent="0.2">
      <c r="A41" t="s">
        <v>235</v>
      </c>
      <c r="B41" t="s">
        <v>56</v>
      </c>
      <c r="C41" t="s">
        <v>23</v>
      </c>
      <c r="D41">
        <v>1</v>
      </c>
      <c r="E41">
        <v>0</v>
      </c>
      <c r="H41" s="1" t="s">
        <v>122</v>
      </c>
      <c r="I41">
        <f t="shared" si="0"/>
        <v>16.666666666666668</v>
      </c>
    </row>
    <row r="42" spans="1:9" ht="16" x14ac:dyDescent="0.2">
      <c r="A42" t="s">
        <v>322</v>
      </c>
      <c r="B42" t="s">
        <v>45</v>
      </c>
      <c r="C42" t="s">
        <v>23</v>
      </c>
      <c r="D42">
        <v>1</v>
      </c>
      <c r="E42">
        <v>2</v>
      </c>
      <c r="H42" s="1" t="s">
        <v>123</v>
      </c>
      <c r="I42" t="e">
        <f t="shared" si="0"/>
        <v>#DIV/0!</v>
      </c>
    </row>
    <row r="43" spans="1:9" ht="16" x14ac:dyDescent="0.2">
      <c r="A43" t="s">
        <v>323</v>
      </c>
      <c r="B43" t="s">
        <v>45</v>
      </c>
      <c r="C43" t="s">
        <v>23</v>
      </c>
      <c r="D43">
        <v>1</v>
      </c>
      <c r="E43">
        <v>22</v>
      </c>
      <c r="H43" s="1" t="s">
        <v>125</v>
      </c>
      <c r="I43" t="e">
        <f t="shared" si="0"/>
        <v>#DIV/0!</v>
      </c>
    </row>
    <row r="44" spans="1:9" ht="16" x14ac:dyDescent="0.2">
      <c r="A44" t="s">
        <v>324</v>
      </c>
      <c r="B44" t="s">
        <v>45</v>
      </c>
      <c r="C44" t="s">
        <v>23</v>
      </c>
      <c r="D44">
        <v>1</v>
      </c>
      <c r="E44">
        <v>2</v>
      </c>
      <c r="H44" s="1" t="s">
        <v>55</v>
      </c>
      <c r="I44">
        <f t="shared" si="0"/>
        <v>8.9444444444444446</v>
      </c>
    </row>
    <row r="45" spans="1:9" ht="16" x14ac:dyDescent="0.2">
      <c r="A45" t="s">
        <v>239</v>
      </c>
      <c r="B45" t="s">
        <v>45</v>
      </c>
      <c r="C45" t="s">
        <v>23</v>
      </c>
      <c r="D45">
        <v>1</v>
      </c>
      <c r="E45">
        <v>35</v>
      </c>
      <c r="H45" s="1" t="s">
        <v>127</v>
      </c>
      <c r="I45" t="e">
        <f t="shared" si="0"/>
        <v>#DIV/0!</v>
      </c>
    </row>
    <row r="46" spans="1:9" x14ac:dyDescent="0.2">
      <c r="A46" t="s">
        <v>325</v>
      </c>
      <c r="B46" t="s">
        <v>107</v>
      </c>
      <c r="C46" t="s">
        <v>23</v>
      </c>
      <c r="D46">
        <v>1</v>
      </c>
      <c r="E46">
        <v>0</v>
      </c>
      <c r="H46" s="1"/>
    </row>
    <row r="47" spans="1:9" x14ac:dyDescent="0.2">
      <c r="A47" t="s">
        <v>326</v>
      </c>
      <c r="B47" t="s">
        <v>107</v>
      </c>
      <c r="C47" t="s">
        <v>23</v>
      </c>
      <c r="D47">
        <v>1</v>
      </c>
      <c r="E47">
        <v>0</v>
      </c>
      <c r="H47" s="1"/>
    </row>
    <row r="48" spans="1:9" x14ac:dyDescent="0.2">
      <c r="A48" t="s">
        <v>327</v>
      </c>
      <c r="B48" t="s">
        <v>107</v>
      </c>
      <c r="C48" t="s">
        <v>23</v>
      </c>
      <c r="D48">
        <v>1</v>
      </c>
      <c r="E48">
        <v>0</v>
      </c>
      <c r="H48" s="1"/>
    </row>
    <row r="49" spans="1:8" x14ac:dyDescent="0.2">
      <c r="A49" t="s">
        <v>328</v>
      </c>
      <c r="B49" t="s">
        <v>107</v>
      </c>
      <c r="C49" t="s">
        <v>23</v>
      </c>
      <c r="D49">
        <v>1</v>
      </c>
      <c r="E49">
        <v>0</v>
      </c>
      <c r="H49" s="1"/>
    </row>
    <row r="50" spans="1:8" x14ac:dyDescent="0.2">
      <c r="A50" t="s">
        <v>329</v>
      </c>
      <c r="B50" t="s">
        <v>37</v>
      </c>
      <c r="C50" t="s">
        <v>23</v>
      </c>
      <c r="D50">
        <v>1</v>
      </c>
      <c r="E50">
        <v>0</v>
      </c>
      <c r="H50" s="1"/>
    </row>
    <row r="51" spans="1:8" x14ac:dyDescent="0.2">
      <c r="A51" t="s">
        <v>330</v>
      </c>
      <c r="B51" t="s">
        <v>122</v>
      </c>
      <c r="C51" t="s">
        <v>23</v>
      </c>
      <c r="D51">
        <v>1</v>
      </c>
      <c r="E51">
        <v>0</v>
      </c>
      <c r="H51" s="1"/>
    </row>
    <row r="52" spans="1:8" x14ac:dyDescent="0.2">
      <c r="A52" t="s">
        <v>331</v>
      </c>
      <c r="B52" t="s">
        <v>122</v>
      </c>
      <c r="C52" t="s">
        <v>23</v>
      </c>
      <c r="D52">
        <v>1</v>
      </c>
      <c r="E52">
        <v>50</v>
      </c>
      <c r="H52" s="1"/>
    </row>
    <row r="53" spans="1:8" x14ac:dyDescent="0.2">
      <c r="A53" t="s">
        <v>332</v>
      </c>
      <c r="B53" t="s">
        <v>122</v>
      </c>
      <c r="C53" t="s">
        <v>23</v>
      </c>
      <c r="D53">
        <v>1</v>
      </c>
      <c r="E53">
        <v>0</v>
      </c>
      <c r="H53" s="1"/>
    </row>
    <row r="54" spans="1:8" x14ac:dyDescent="0.2">
      <c r="A54" t="s">
        <v>333</v>
      </c>
      <c r="B54" t="s">
        <v>55</v>
      </c>
      <c r="C54" t="s">
        <v>23</v>
      </c>
      <c r="D54">
        <v>1</v>
      </c>
      <c r="E54">
        <v>0</v>
      </c>
      <c r="H54" s="1"/>
    </row>
    <row r="55" spans="1:8" x14ac:dyDescent="0.2">
      <c r="A55" t="s">
        <v>334</v>
      </c>
      <c r="B55" t="s">
        <v>55</v>
      </c>
      <c r="C55" t="s">
        <v>23</v>
      </c>
      <c r="D55">
        <v>1</v>
      </c>
      <c r="E55">
        <v>0</v>
      </c>
      <c r="H55" s="1"/>
    </row>
    <row r="56" spans="1:8" x14ac:dyDescent="0.2">
      <c r="A56" t="s">
        <v>335</v>
      </c>
      <c r="B56" t="s">
        <v>55</v>
      </c>
      <c r="C56" t="s">
        <v>23</v>
      </c>
      <c r="D56">
        <v>1</v>
      </c>
      <c r="E56">
        <v>0</v>
      </c>
      <c r="H56" s="1"/>
    </row>
    <row r="57" spans="1:8" x14ac:dyDescent="0.2">
      <c r="A57" t="s">
        <v>278</v>
      </c>
      <c r="B57" t="s">
        <v>55</v>
      </c>
      <c r="C57" t="s">
        <v>23</v>
      </c>
      <c r="D57">
        <v>1</v>
      </c>
      <c r="E57">
        <v>72</v>
      </c>
      <c r="H57" s="1"/>
    </row>
    <row r="58" spans="1:8" x14ac:dyDescent="0.2">
      <c r="A58" t="s">
        <v>336</v>
      </c>
      <c r="B58" t="s">
        <v>55</v>
      </c>
      <c r="C58" t="s">
        <v>23</v>
      </c>
      <c r="D58">
        <v>1</v>
      </c>
      <c r="E58">
        <v>0</v>
      </c>
      <c r="H58" s="1"/>
    </row>
    <row r="59" spans="1:8" x14ac:dyDescent="0.2">
      <c r="A59" t="s">
        <v>337</v>
      </c>
      <c r="B59" t="s">
        <v>55</v>
      </c>
      <c r="C59" t="s">
        <v>23</v>
      </c>
      <c r="D59">
        <v>1</v>
      </c>
      <c r="E59">
        <v>0</v>
      </c>
      <c r="H59" s="1"/>
    </row>
    <row r="60" spans="1:8" x14ac:dyDescent="0.2">
      <c r="A60" t="s">
        <v>338</v>
      </c>
      <c r="B60" t="s">
        <v>95</v>
      </c>
      <c r="C60" t="s">
        <v>23</v>
      </c>
      <c r="D60">
        <v>1</v>
      </c>
      <c r="E60">
        <v>2</v>
      </c>
      <c r="H60" s="1"/>
    </row>
    <row r="61" spans="1:8" x14ac:dyDescent="0.2">
      <c r="A61" t="s">
        <v>339</v>
      </c>
      <c r="B61" t="s">
        <v>163</v>
      </c>
      <c r="C61" t="s">
        <v>23</v>
      </c>
      <c r="D61">
        <v>1</v>
      </c>
      <c r="E61">
        <v>0</v>
      </c>
      <c r="H61" s="1"/>
    </row>
    <row r="62" spans="1:8" x14ac:dyDescent="0.2">
      <c r="A62" t="s">
        <v>340</v>
      </c>
      <c r="B62" t="s">
        <v>163</v>
      </c>
      <c r="C62" t="s">
        <v>23</v>
      </c>
      <c r="D62">
        <v>1</v>
      </c>
      <c r="E62">
        <v>0</v>
      </c>
      <c r="H62" s="1"/>
    </row>
    <row r="63" spans="1:8" x14ac:dyDescent="0.2">
      <c r="H63" s="1"/>
    </row>
    <row r="64" spans="1:8" x14ac:dyDescent="0.2">
      <c r="A64" t="s">
        <v>138</v>
      </c>
      <c r="B64" t="s">
        <v>166</v>
      </c>
      <c r="C64" t="s">
        <v>23</v>
      </c>
      <c r="D64">
        <v>1</v>
      </c>
      <c r="E64">
        <v>2.5</v>
      </c>
      <c r="H64" s="1"/>
    </row>
    <row r="65" spans="1:8" x14ac:dyDescent="0.2">
      <c r="A65" t="s">
        <v>195</v>
      </c>
      <c r="B65" t="s">
        <v>27</v>
      </c>
      <c r="C65" t="s">
        <v>23</v>
      </c>
      <c r="D65">
        <v>3</v>
      </c>
      <c r="E65">
        <v>2.25</v>
      </c>
      <c r="H65" s="1"/>
    </row>
    <row r="66" spans="1:8" x14ac:dyDescent="0.2">
      <c r="A66" t="s">
        <v>199</v>
      </c>
      <c r="B66" t="s">
        <v>55</v>
      </c>
      <c r="C66" t="s">
        <v>23</v>
      </c>
      <c r="D66">
        <v>7</v>
      </c>
      <c r="E66">
        <v>5.5</v>
      </c>
      <c r="H66" s="1"/>
    </row>
    <row r="67" spans="1:8" x14ac:dyDescent="0.2">
      <c r="A67" t="s">
        <v>146</v>
      </c>
      <c r="B67" t="s">
        <v>29</v>
      </c>
      <c r="C67" t="s">
        <v>23</v>
      </c>
      <c r="D67">
        <v>3</v>
      </c>
      <c r="E67">
        <v>5</v>
      </c>
      <c r="H67" s="1"/>
    </row>
    <row r="68" spans="1:8" x14ac:dyDescent="0.2">
      <c r="A68" t="s">
        <v>147</v>
      </c>
      <c r="B68" t="s">
        <v>29</v>
      </c>
      <c r="C68" t="s">
        <v>23</v>
      </c>
      <c r="D68">
        <v>11</v>
      </c>
      <c r="E68">
        <v>7.5</v>
      </c>
      <c r="H68" s="1"/>
    </row>
    <row r="69" spans="1:8" x14ac:dyDescent="0.2">
      <c r="A69" t="s">
        <v>353</v>
      </c>
      <c r="B69" t="s">
        <v>30</v>
      </c>
      <c r="C69" t="s">
        <v>23</v>
      </c>
      <c r="D69">
        <v>1</v>
      </c>
      <c r="E69">
        <v>2.8</v>
      </c>
      <c r="H69" s="1"/>
    </row>
    <row r="70" spans="1:8" x14ac:dyDescent="0.2">
      <c r="A70" t="s">
        <v>148</v>
      </c>
      <c r="B70" t="s">
        <v>30</v>
      </c>
      <c r="C70" t="s">
        <v>23</v>
      </c>
      <c r="D70">
        <v>13</v>
      </c>
      <c r="E70">
        <v>35</v>
      </c>
      <c r="H70" s="1"/>
    </row>
    <row r="71" spans="1:8" x14ac:dyDescent="0.2">
      <c r="A71" t="s">
        <v>342</v>
      </c>
      <c r="B71" t="s">
        <v>30</v>
      </c>
      <c r="C71" t="s">
        <v>23</v>
      </c>
      <c r="D71">
        <v>7</v>
      </c>
      <c r="E71">
        <v>23.5</v>
      </c>
      <c r="H71" s="1"/>
    </row>
    <row r="72" spans="1:8" x14ac:dyDescent="0.2">
      <c r="A72" t="s">
        <v>149</v>
      </c>
      <c r="B72" t="s">
        <v>31</v>
      </c>
      <c r="C72" t="s">
        <v>23</v>
      </c>
      <c r="D72">
        <v>2</v>
      </c>
      <c r="E72">
        <v>0</v>
      </c>
      <c r="H72" s="1"/>
    </row>
    <row r="73" spans="1:8" x14ac:dyDescent="0.2">
      <c r="A73" t="s">
        <v>152</v>
      </c>
      <c r="B73" t="s">
        <v>31</v>
      </c>
      <c r="C73" t="s">
        <v>23</v>
      </c>
      <c r="D73">
        <v>8</v>
      </c>
      <c r="E73">
        <v>15</v>
      </c>
      <c r="H73" s="1"/>
    </row>
    <row r="74" spans="1:8" x14ac:dyDescent="0.2">
      <c r="A74" t="s">
        <v>154</v>
      </c>
      <c r="B74" t="s">
        <v>32</v>
      </c>
      <c r="C74" t="s">
        <v>23</v>
      </c>
      <c r="D74">
        <v>1</v>
      </c>
      <c r="E74">
        <v>65</v>
      </c>
      <c r="H74" s="1"/>
    </row>
    <row r="75" spans="1:8" x14ac:dyDescent="0.2">
      <c r="A75" t="s">
        <v>354</v>
      </c>
      <c r="B75" t="s">
        <v>32</v>
      </c>
      <c r="C75" t="s">
        <v>23</v>
      </c>
      <c r="D75">
        <v>8</v>
      </c>
      <c r="E75">
        <v>7</v>
      </c>
      <c r="H75" s="1"/>
    </row>
    <row r="76" spans="1:8" x14ac:dyDescent="0.2">
      <c r="A76" t="s">
        <v>155</v>
      </c>
      <c r="B76" t="s">
        <v>32</v>
      </c>
      <c r="C76" t="s">
        <v>23</v>
      </c>
      <c r="D76">
        <v>9</v>
      </c>
      <c r="E76">
        <v>65</v>
      </c>
      <c r="H76" s="1"/>
    </row>
    <row r="77" spans="1:8" x14ac:dyDescent="0.2">
      <c r="A77" t="s">
        <v>212</v>
      </c>
      <c r="B77" t="s">
        <v>55</v>
      </c>
      <c r="C77" t="s">
        <v>23</v>
      </c>
      <c r="D77">
        <v>8</v>
      </c>
      <c r="E77">
        <v>3</v>
      </c>
      <c r="H77" s="1"/>
    </row>
    <row r="78" spans="1:8" x14ac:dyDescent="0.2">
      <c r="A78" t="s">
        <v>212</v>
      </c>
      <c r="B78" t="s">
        <v>133</v>
      </c>
      <c r="C78" t="s">
        <v>23</v>
      </c>
      <c r="D78">
        <v>2</v>
      </c>
      <c r="E78">
        <v>3.5</v>
      </c>
      <c r="H78" s="1"/>
    </row>
    <row r="79" spans="1:8" x14ac:dyDescent="0.2">
      <c r="A79" t="s">
        <v>355</v>
      </c>
      <c r="B79" t="s">
        <v>56</v>
      </c>
      <c r="C79" t="s">
        <v>23</v>
      </c>
      <c r="D79">
        <v>1</v>
      </c>
      <c r="E79">
        <v>2.5</v>
      </c>
      <c r="H79" s="1"/>
    </row>
    <row r="80" spans="1:8" x14ac:dyDescent="0.2">
      <c r="A80" t="s">
        <v>356</v>
      </c>
      <c r="B80" t="s">
        <v>56</v>
      </c>
      <c r="C80" t="s">
        <v>23</v>
      </c>
      <c r="D80">
        <v>4</v>
      </c>
      <c r="E80">
        <v>7</v>
      </c>
      <c r="H80" s="1"/>
    </row>
    <row r="81" spans="1:8" x14ac:dyDescent="0.2">
      <c r="A81" t="s">
        <v>357</v>
      </c>
      <c r="B81" t="s">
        <v>56</v>
      </c>
      <c r="C81" t="s">
        <v>23</v>
      </c>
      <c r="D81">
        <v>1</v>
      </c>
      <c r="E81">
        <v>2.5</v>
      </c>
      <c r="H81" s="1"/>
    </row>
    <row r="82" spans="1:8" x14ac:dyDescent="0.2">
      <c r="A82" t="s">
        <v>358</v>
      </c>
      <c r="B82" t="s">
        <v>55</v>
      </c>
      <c r="C82" t="s">
        <v>23</v>
      </c>
      <c r="D82">
        <v>4</v>
      </c>
      <c r="E82">
        <v>0</v>
      </c>
      <c r="H82" s="1"/>
    </row>
    <row r="83" spans="1:8" x14ac:dyDescent="0.2">
      <c r="A83" t="s">
        <v>286</v>
      </c>
      <c r="B83" t="s">
        <v>163</v>
      </c>
      <c r="C83" t="s">
        <v>23</v>
      </c>
      <c r="D83">
        <v>8</v>
      </c>
      <c r="E83">
        <v>15.8</v>
      </c>
      <c r="H83" s="1"/>
    </row>
    <row r="84" spans="1:8" x14ac:dyDescent="0.2">
      <c r="H84" s="1"/>
    </row>
    <row r="85" spans="1:8" x14ac:dyDescent="0.2">
      <c r="A85" t="s">
        <v>148</v>
      </c>
      <c r="B85" t="s">
        <v>30</v>
      </c>
      <c r="C85" t="s">
        <v>23</v>
      </c>
      <c r="D85">
        <v>1</v>
      </c>
      <c r="E85">
        <v>100</v>
      </c>
      <c r="H85" s="1"/>
    </row>
    <row r="86" spans="1:8" x14ac:dyDescent="0.2">
      <c r="A86" t="s">
        <v>155</v>
      </c>
      <c r="B86" t="s">
        <v>32</v>
      </c>
      <c r="C86" t="s">
        <v>23</v>
      </c>
      <c r="D86">
        <v>1</v>
      </c>
      <c r="E86">
        <v>2.5</v>
      </c>
      <c r="H86" s="1"/>
    </row>
    <row r="87" spans="1:8" x14ac:dyDescent="0.2">
      <c r="H87" s="1"/>
    </row>
    <row r="88" spans="1:8" x14ac:dyDescent="0.2">
      <c r="H88" s="1"/>
    </row>
    <row r="89" spans="1:8" x14ac:dyDescent="0.2">
      <c r="H89" s="1"/>
    </row>
    <row r="90" spans="1:8" x14ac:dyDescent="0.2">
      <c r="H90" s="1"/>
    </row>
    <row r="91" spans="1:8" x14ac:dyDescent="0.2">
      <c r="H91" s="1"/>
    </row>
    <row r="92" spans="1:8" x14ac:dyDescent="0.2">
      <c r="H92" s="1"/>
    </row>
    <row r="93" spans="1:8" x14ac:dyDescent="0.2">
      <c r="H93" s="1"/>
    </row>
    <row r="94" spans="1:8" x14ac:dyDescent="0.2">
      <c r="H94" s="1"/>
    </row>
    <row r="96" spans="1:8" x14ac:dyDescent="0.2">
      <c r="H96" s="1"/>
    </row>
    <row r="97" spans="8:8" x14ac:dyDescent="0.2">
      <c r="H97" s="1"/>
    </row>
    <row r="98" spans="8:8" x14ac:dyDescent="0.2">
      <c r="H98" s="1"/>
    </row>
    <row r="99" spans="8:8" x14ac:dyDescent="0.2">
      <c r="H99" s="1"/>
    </row>
    <row r="100" spans="8:8" x14ac:dyDescent="0.2">
      <c r="H100" s="1"/>
    </row>
    <row r="101" spans="8:8" x14ac:dyDescent="0.2">
      <c r="H101" s="1"/>
    </row>
    <row r="102" spans="8:8" x14ac:dyDescent="0.2">
      <c r="H102" s="1"/>
    </row>
    <row r="103" spans="8:8" x14ac:dyDescent="0.2">
      <c r="H103" s="1"/>
    </row>
    <row r="104" spans="8:8" x14ac:dyDescent="0.2">
      <c r="H104" s="1"/>
    </row>
    <row r="105" spans="8:8" x14ac:dyDescent="0.2">
      <c r="H105" s="1"/>
    </row>
    <row r="106" spans="8:8" x14ac:dyDescent="0.2">
      <c r="H106" s="1"/>
    </row>
    <row r="107" spans="8:8" x14ac:dyDescent="0.2">
      <c r="H107" s="1"/>
    </row>
    <row r="108" spans="8:8" x14ac:dyDescent="0.2">
      <c r="H108" s="1"/>
    </row>
    <row r="109" spans="8:8" x14ac:dyDescent="0.2">
      <c r="H109" s="1"/>
    </row>
  </sheetData>
  <hyperlinks>
    <hyperlink ref="L3" r:id="rId1" xr:uid="{00000000-0004-0000-0400-000000000000}"/>
    <hyperlink ref="L1" r:id="rId2" xr:uid="{00000000-0004-0000-04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0"/>
  <sheetViews>
    <sheetView zoomScale="90" zoomScaleNormal="90" workbookViewId="0">
      <selection activeCell="A11" sqref="A11:XFD11"/>
    </sheetView>
  </sheetViews>
  <sheetFormatPr baseColWidth="10" defaultColWidth="8.83203125" defaultRowHeight="15" x14ac:dyDescent="0.2"/>
  <cols>
    <col min="1" max="1" width="55" bestFit="1" customWidth="1"/>
    <col min="2" max="2" width="48.83203125" bestFit="1" customWidth="1"/>
    <col min="3" max="3" width="19.5" bestFit="1" customWidth="1"/>
    <col min="4" max="4" width="10.5" bestFit="1" customWidth="1"/>
    <col min="5" max="5" width="11.83203125" bestFit="1" customWidth="1"/>
    <col min="8" max="8" width="33.5" bestFit="1" customWidth="1"/>
  </cols>
  <sheetData>
    <row r="1" spans="1:12" x14ac:dyDescent="0.2">
      <c r="A1" t="s">
        <v>18</v>
      </c>
      <c r="B1" t="s">
        <v>19</v>
      </c>
      <c r="C1" t="s">
        <v>20</v>
      </c>
      <c r="D1" t="s">
        <v>165</v>
      </c>
      <c r="E1" t="s">
        <v>21</v>
      </c>
      <c r="L1" s="47" t="s">
        <v>367</v>
      </c>
    </row>
    <row r="2" spans="1:12" x14ac:dyDescent="0.2">
      <c r="A2" t="s">
        <v>138</v>
      </c>
      <c r="B2" t="s">
        <v>166</v>
      </c>
      <c r="C2" t="s">
        <v>23</v>
      </c>
      <c r="D2">
        <v>1</v>
      </c>
      <c r="E2">
        <v>2.5</v>
      </c>
      <c r="H2" t="s">
        <v>35</v>
      </c>
      <c r="I2" t="e">
        <f>AVERAGEIF($B$2:$B$68,H2,$E$2:$E$68)</f>
        <v>#DIV/0!</v>
      </c>
    </row>
    <row r="3" spans="1:12" x14ac:dyDescent="0.2">
      <c r="A3" t="s">
        <v>61</v>
      </c>
      <c r="B3" t="s">
        <v>58</v>
      </c>
      <c r="C3" t="s">
        <v>23</v>
      </c>
      <c r="D3">
        <v>1</v>
      </c>
      <c r="E3">
        <v>2.5</v>
      </c>
      <c r="H3" t="s">
        <v>166</v>
      </c>
      <c r="I3">
        <f t="shared" ref="I3:I45" si="0">AVERAGEIF($B$2:$B$68,H3,$E$2:$E$68)</f>
        <v>51.25</v>
      </c>
      <c r="L3" s="47" t="s">
        <v>368</v>
      </c>
    </row>
    <row r="4" spans="1:12" x14ac:dyDescent="0.2">
      <c r="A4" t="s">
        <v>306</v>
      </c>
      <c r="B4" t="s">
        <v>88</v>
      </c>
      <c r="C4" t="s">
        <v>23</v>
      </c>
      <c r="D4">
        <v>2</v>
      </c>
      <c r="E4">
        <v>2.5</v>
      </c>
      <c r="H4" t="s">
        <v>43</v>
      </c>
      <c r="I4">
        <f t="shared" si="0"/>
        <v>0.9</v>
      </c>
    </row>
    <row r="5" spans="1:12" x14ac:dyDescent="0.2">
      <c r="A5" t="s">
        <v>197</v>
      </c>
      <c r="B5" t="s">
        <v>29</v>
      </c>
      <c r="C5" t="s">
        <v>23</v>
      </c>
      <c r="D5">
        <v>1</v>
      </c>
      <c r="E5">
        <v>2.5</v>
      </c>
      <c r="H5" t="s">
        <v>61</v>
      </c>
      <c r="I5" t="e">
        <f t="shared" si="0"/>
        <v>#DIV/0!</v>
      </c>
      <c r="L5" t="s">
        <v>376</v>
      </c>
    </row>
    <row r="6" spans="1:12" x14ac:dyDescent="0.2">
      <c r="A6" t="s">
        <v>144</v>
      </c>
      <c r="B6" t="s">
        <v>29</v>
      </c>
      <c r="C6" t="s">
        <v>23</v>
      </c>
      <c r="D6">
        <v>1</v>
      </c>
      <c r="E6">
        <v>0</v>
      </c>
      <c r="H6" t="s">
        <v>60</v>
      </c>
      <c r="I6" t="e">
        <f t="shared" si="0"/>
        <v>#DIV/0!</v>
      </c>
    </row>
    <row r="7" spans="1:12" x14ac:dyDescent="0.2">
      <c r="A7" t="s">
        <v>145</v>
      </c>
      <c r="B7" t="s">
        <v>29</v>
      </c>
      <c r="C7" t="s">
        <v>23</v>
      </c>
      <c r="D7">
        <v>1</v>
      </c>
      <c r="E7">
        <v>2.5</v>
      </c>
      <c r="H7" t="s">
        <v>38</v>
      </c>
      <c r="I7" t="e">
        <f t="shared" si="0"/>
        <v>#DIV/0!</v>
      </c>
      <c r="L7" t="s">
        <v>485</v>
      </c>
    </row>
    <row r="8" spans="1:12" x14ac:dyDescent="0.2">
      <c r="A8" t="s">
        <v>146</v>
      </c>
      <c r="B8" t="s">
        <v>29</v>
      </c>
      <c r="C8" t="s">
        <v>23</v>
      </c>
      <c r="D8">
        <v>2</v>
      </c>
      <c r="E8">
        <v>0</v>
      </c>
      <c r="H8" t="s">
        <v>132</v>
      </c>
      <c r="I8" t="e">
        <f t="shared" si="0"/>
        <v>#DIV/0!</v>
      </c>
    </row>
    <row r="9" spans="1:12" x14ac:dyDescent="0.2">
      <c r="A9" t="s">
        <v>147</v>
      </c>
      <c r="B9" t="s">
        <v>29</v>
      </c>
      <c r="C9" t="s">
        <v>23</v>
      </c>
      <c r="D9">
        <v>1</v>
      </c>
      <c r="E9">
        <v>17</v>
      </c>
      <c r="H9" t="s">
        <v>65</v>
      </c>
      <c r="I9" t="e">
        <f t="shared" si="0"/>
        <v>#DIV/0!</v>
      </c>
    </row>
    <row r="10" spans="1:12" x14ac:dyDescent="0.2">
      <c r="A10" t="s">
        <v>314</v>
      </c>
      <c r="B10" t="s">
        <v>30</v>
      </c>
      <c r="C10" t="s">
        <v>23</v>
      </c>
      <c r="D10">
        <v>1</v>
      </c>
      <c r="E10">
        <v>0</v>
      </c>
      <c r="H10" t="s">
        <v>71</v>
      </c>
      <c r="I10" t="e">
        <f t="shared" si="0"/>
        <v>#DIV/0!</v>
      </c>
    </row>
    <row r="11" spans="1:12" x14ac:dyDescent="0.2">
      <c r="A11" t="s">
        <v>148</v>
      </c>
      <c r="B11" t="s">
        <v>30</v>
      </c>
      <c r="C11" t="s">
        <v>23</v>
      </c>
      <c r="D11">
        <v>13</v>
      </c>
      <c r="E11">
        <v>45</v>
      </c>
      <c r="H11" t="s">
        <v>88</v>
      </c>
      <c r="I11">
        <f t="shared" si="0"/>
        <v>1.75</v>
      </c>
    </row>
    <row r="12" spans="1:12" x14ac:dyDescent="0.2">
      <c r="A12" t="s">
        <v>342</v>
      </c>
      <c r="B12" t="s">
        <v>30</v>
      </c>
      <c r="C12" t="s">
        <v>23</v>
      </c>
      <c r="D12">
        <v>4</v>
      </c>
      <c r="E12">
        <v>55</v>
      </c>
      <c r="H12" t="s">
        <v>25</v>
      </c>
      <c r="I12" t="e">
        <f t="shared" si="0"/>
        <v>#DIV/0!</v>
      </c>
    </row>
    <row r="13" spans="1:12" x14ac:dyDescent="0.2">
      <c r="A13" t="s">
        <v>149</v>
      </c>
      <c r="B13" t="s">
        <v>31</v>
      </c>
      <c r="C13" t="s">
        <v>23</v>
      </c>
      <c r="D13">
        <v>2</v>
      </c>
      <c r="E13">
        <v>0</v>
      </c>
      <c r="H13" t="s">
        <v>74</v>
      </c>
      <c r="I13" t="e">
        <f t="shared" si="0"/>
        <v>#DIV/0!</v>
      </c>
    </row>
    <row r="14" spans="1:12" x14ac:dyDescent="0.2">
      <c r="A14" t="s">
        <v>152</v>
      </c>
      <c r="B14" t="s">
        <v>31</v>
      </c>
      <c r="C14" t="s">
        <v>23</v>
      </c>
      <c r="D14">
        <v>3</v>
      </c>
      <c r="E14">
        <v>8</v>
      </c>
      <c r="H14" t="s">
        <v>76</v>
      </c>
      <c r="I14" t="e">
        <f t="shared" si="0"/>
        <v>#DIV/0!</v>
      </c>
    </row>
    <row r="15" spans="1:12" x14ac:dyDescent="0.2">
      <c r="A15" t="s">
        <v>154</v>
      </c>
      <c r="B15" t="s">
        <v>32</v>
      </c>
      <c r="C15" t="s">
        <v>23</v>
      </c>
      <c r="D15">
        <v>2</v>
      </c>
      <c r="E15">
        <v>65</v>
      </c>
      <c r="H15" t="s">
        <v>26</v>
      </c>
      <c r="I15" t="e">
        <f t="shared" si="0"/>
        <v>#DIV/0!</v>
      </c>
    </row>
    <row r="16" spans="1:12" x14ac:dyDescent="0.2">
      <c r="A16" t="s">
        <v>155</v>
      </c>
      <c r="B16" t="s">
        <v>32</v>
      </c>
      <c r="C16" t="s">
        <v>23</v>
      </c>
      <c r="D16">
        <v>9</v>
      </c>
      <c r="E16">
        <v>35</v>
      </c>
      <c r="H16" t="s">
        <v>78</v>
      </c>
      <c r="I16" t="e">
        <f t="shared" si="0"/>
        <v>#DIV/0!</v>
      </c>
    </row>
    <row r="17" spans="1:9" x14ac:dyDescent="0.2">
      <c r="A17" t="s">
        <v>212</v>
      </c>
      <c r="B17" t="s">
        <v>133</v>
      </c>
      <c r="C17" t="s">
        <v>23</v>
      </c>
      <c r="D17">
        <v>2</v>
      </c>
      <c r="E17">
        <v>1.25</v>
      </c>
      <c r="H17" t="s">
        <v>27</v>
      </c>
      <c r="I17" t="e">
        <f t="shared" si="0"/>
        <v>#DIV/0!</v>
      </c>
    </row>
    <row r="18" spans="1:9" x14ac:dyDescent="0.2">
      <c r="A18" t="s">
        <v>344</v>
      </c>
      <c r="B18" t="s">
        <v>56</v>
      </c>
      <c r="C18" t="s">
        <v>23</v>
      </c>
      <c r="D18">
        <v>1</v>
      </c>
      <c r="E18">
        <v>2.5</v>
      </c>
      <c r="H18" t="s">
        <v>29</v>
      </c>
      <c r="I18">
        <f t="shared" si="0"/>
        <v>2.8460000000000001</v>
      </c>
    </row>
    <row r="19" spans="1:9" x14ac:dyDescent="0.2">
      <c r="A19" t="s">
        <v>231</v>
      </c>
      <c r="B19" t="s">
        <v>56</v>
      </c>
      <c r="C19" t="s">
        <v>23</v>
      </c>
      <c r="D19">
        <v>1</v>
      </c>
      <c r="E19">
        <v>19</v>
      </c>
      <c r="H19" t="s">
        <v>30</v>
      </c>
      <c r="I19">
        <f t="shared" si="0"/>
        <v>24.412500000000001</v>
      </c>
    </row>
    <row r="20" spans="1:9" x14ac:dyDescent="0.2">
      <c r="A20" t="s">
        <v>345</v>
      </c>
      <c r="B20" t="s">
        <v>101</v>
      </c>
      <c r="C20" t="s">
        <v>23</v>
      </c>
      <c r="D20">
        <v>1</v>
      </c>
      <c r="E20">
        <v>2.5</v>
      </c>
      <c r="H20" t="s">
        <v>31</v>
      </c>
      <c r="I20">
        <f t="shared" si="0"/>
        <v>4.166666666666667</v>
      </c>
    </row>
    <row r="21" spans="1:9" x14ac:dyDescent="0.2">
      <c r="A21" t="s">
        <v>286</v>
      </c>
      <c r="B21" t="s">
        <v>163</v>
      </c>
      <c r="C21" t="s">
        <v>23</v>
      </c>
      <c r="D21">
        <v>2</v>
      </c>
      <c r="E21">
        <v>0</v>
      </c>
      <c r="H21" t="s">
        <v>86</v>
      </c>
      <c r="I21" t="e">
        <f t="shared" si="0"/>
        <v>#DIV/0!</v>
      </c>
    </row>
    <row r="22" spans="1:9" x14ac:dyDescent="0.2">
      <c r="A22" t="s">
        <v>346</v>
      </c>
      <c r="B22" t="s">
        <v>163</v>
      </c>
      <c r="C22" t="s">
        <v>23</v>
      </c>
      <c r="D22">
        <v>1</v>
      </c>
      <c r="E22">
        <v>0</v>
      </c>
      <c r="H22" t="s">
        <v>32</v>
      </c>
      <c r="I22">
        <f t="shared" si="0"/>
        <v>67.099999999999994</v>
      </c>
    </row>
    <row r="23" spans="1:9" x14ac:dyDescent="0.2">
      <c r="H23" t="s">
        <v>133</v>
      </c>
      <c r="I23">
        <f t="shared" si="0"/>
        <v>1.25</v>
      </c>
    </row>
    <row r="24" spans="1:9" x14ac:dyDescent="0.2">
      <c r="A24" t="s">
        <v>139</v>
      </c>
      <c r="B24" t="s">
        <v>166</v>
      </c>
      <c r="C24" t="s">
        <v>23</v>
      </c>
      <c r="D24">
        <v>2</v>
      </c>
      <c r="E24">
        <v>100</v>
      </c>
      <c r="H24" t="s">
        <v>91</v>
      </c>
      <c r="I24" t="e">
        <f t="shared" si="0"/>
        <v>#DIV/0!</v>
      </c>
    </row>
    <row r="25" spans="1:9" x14ac:dyDescent="0.2">
      <c r="A25" t="s">
        <v>361</v>
      </c>
      <c r="B25" t="s">
        <v>43</v>
      </c>
      <c r="C25" t="s">
        <v>23</v>
      </c>
      <c r="D25">
        <v>1</v>
      </c>
      <c r="E25">
        <v>0.9</v>
      </c>
      <c r="H25" t="s">
        <v>134</v>
      </c>
      <c r="I25" t="e">
        <f t="shared" si="0"/>
        <v>#DIV/0!</v>
      </c>
    </row>
    <row r="26" spans="1:9" x14ac:dyDescent="0.2">
      <c r="A26" t="s">
        <v>306</v>
      </c>
      <c r="B26" t="s">
        <v>88</v>
      </c>
      <c r="C26" t="s">
        <v>23</v>
      </c>
      <c r="D26">
        <v>1</v>
      </c>
      <c r="E26">
        <v>1</v>
      </c>
      <c r="H26" t="s">
        <v>96</v>
      </c>
      <c r="I26" t="e">
        <f t="shared" si="0"/>
        <v>#DIV/0!</v>
      </c>
    </row>
    <row r="27" spans="1:9" x14ac:dyDescent="0.2">
      <c r="A27" t="s">
        <v>362</v>
      </c>
      <c r="B27" t="s">
        <v>30</v>
      </c>
      <c r="C27" t="s">
        <v>23</v>
      </c>
      <c r="D27">
        <v>1</v>
      </c>
      <c r="E27">
        <v>2.5</v>
      </c>
      <c r="H27" t="s">
        <v>135</v>
      </c>
      <c r="I27" t="e">
        <f t="shared" si="0"/>
        <v>#DIV/0!</v>
      </c>
    </row>
    <row r="28" spans="1:9" x14ac:dyDescent="0.2">
      <c r="A28" t="s">
        <v>313</v>
      </c>
      <c r="B28" t="s">
        <v>30</v>
      </c>
      <c r="C28" t="s">
        <v>23</v>
      </c>
      <c r="D28">
        <v>1</v>
      </c>
      <c r="E28">
        <v>2.5</v>
      </c>
      <c r="H28" t="s">
        <v>56</v>
      </c>
      <c r="I28">
        <f t="shared" si="0"/>
        <v>10.75</v>
      </c>
    </row>
    <row r="29" spans="1:9" x14ac:dyDescent="0.2">
      <c r="A29" t="s">
        <v>314</v>
      </c>
      <c r="B29" t="s">
        <v>30</v>
      </c>
      <c r="C29" t="s">
        <v>23</v>
      </c>
      <c r="D29">
        <v>1</v>
      </c>
      <c r="E29">
        <v>2.5</v>
      </c>
      <c r="H29" t="s">
        <v>45</v>
      </c>
      <c r="I29" t="e">
        <f t="shared" si="0"/>
        <v>#DIV/0!</v>
      </c>
    </row>
    <row r="30" spans="1:9" x14ac:dyDescent="0.2">
      <c r="A30" t="s">
        <v>148</v>
      </c>
      <c r="B30" t="s">
        <v>30</v>
      </c>
      <c r="C30" t="s">
        <v>23</v>
      </c>
      <c r="D30">
        <v>6</v>
      </c>
      <c r="E30">
        <v>85.3</v>
      </c>
      <c r="H30" t="s">
        <v>103</v>
      </c>
      <c r="I30" t="e">
        <f t="shared" si="0"/>
        <v>#DIV/0!</v>
      </c>
    </row>
    <row r="31" spans="1:9" x14ac:dyDescent="0.2">
      <c r="A31" t="s">
        <v>363</v>
      </c>
      <c r="B31" t="s">
        <v>30</v>
      </c>
      <c r="C31" t="s">
        <v>23</v>
      </c>
      <c r="D31">
        <v>1</v>
      </c>
      <c r="E31">
        <v>2.5</v>
      </c>
      <c r="H31" t="s">
        <v>107</v>
      </c>
      <c r="I31" t="e">
        <f t="shared" si="0"/>
        <v>#DIV/0!</v>
      </c>
    </row>
    <row r="32" spans="1:9" x14ac:dyDescent="0.2">
      <c r="A32" t="s">
        <v>152</v>
      </c>
      <c r="B32" t="s">
        <v>31</v>
      </c>
      <c r="C32" t="s">
        <v>23</v>
      </c>
      <c r="D32">
        <v>2</v>
      </c>
      <c r="E32">
        <v>4.5</v>
      </c>
      <c r="H32" t="s">
        <v>108</v>
      </c>
      <c r="I32" t="e">
        <f t="shared" si="0"/>
        <v>#DIV/0!</v>
      </c>
    </row>
    <row r="33" spans="1:9" x14ac:dyDescent="0.2">
      <c r="A33" t="s">
        <v>154</v>
      </c>
      <c r="B33" t="s">
        <v>32</v>
      </c>
      <c r="C33" t="s">
        <v>23</v>
      </c>
      <c r="D33">
        <v>2</v>
      </c>
      <c r="E33">
        <v>88</v>
      </c>
      <c r="H33" t="s">
        <v>101</v>
      </c>
      <c r="I33">
        <f t="shared" si="0"/>
        <v>2.5</v>
      </c>
    </row>
    <row r="34" spans="1:9" x14ac:dyDescent="0.2">
      <c r="A34" t="s">
        <v>155</v>
      </c>
      <c r="B34" t="s">
        <v>32</v>
      </c>
      <c r="C34" t="s">
        <v>23</v>
      </c>
      <c r="D34">
        <v>11</v>
      </c>
      <c r="E34">
        <v>82.5</v>
      </c>
      <c r="H34" t="s">
        <v>34</v>
      </c>
      <c r="I34" t="e">
        <f t="shared" si="0"/>
        <v>#DIV/0!</v>
      </c>
    </row>
    <row r="35" spans="1:9" x14ac:dyDescent="0.2">
      <c r="A35" t="s">
        <v>365</v>
      </c>
      <c r="B35" t="s">
        <v>54</v>
      </c>
      <c r="C35" t="s">
        <v>23</v>
      </c>
      <c r="D35">
        <v>1</v>
      </c>
      <c r="E35">
        <v>0</v>
      </c>
      <c r="H35" t="s">
        <v>110</v>
      </c>
      <c r="I35" t="e">
        <f t="shared" si="0"/>
        <v>#DIV/0!</v>
      </c>
    </row>
    <row r="36" spans="1:9" x14ac:dyDescent="0.2">
      <c r="A36" t="s">
        <v>366</v>
      </c>
      <c r="B36" t="s">
        <v>163</v>
      </c>
      <c r="C36" t="s">
        <v>23</v>
      </c>
      <c r="D36">
        <v>1</v>
      </c>
      <c r="E36">
        <v>1</v>
      </c>
      <c r="H36" t="s">
        <v>112</v>
      </c>
      <c r="I36" t="e">
        <f t="shared" si="0"/>
        <v>#DIV/0!</v>
      </c>
    </row>
    <row r="37" spans="1:9" x14ac:dyDescent="0.2">
      <c r="H37" t="s">
        <v>37</v>
      </c>
      <c r="I37" t="e">
        <f t="shared" si="0"/>
        <v>#DIV/0!</v>
      </c>
    </row>
    <row r="38" spans="1:9" x14ac:dyDescent="0.2">
      <c r="A38" t="s">
        <v>369</v>
      </c>
      <c r="B38" t="s">
        <v>50</v>
      </c>
      <c r="C38" t="s">
        <v>23</v>
      </c>
      <c r="D38">
        <v>4</v>
      </c>
      <c r="E38" s="26">
        <v>7</v>
      </c>
      <c r="H38" t="s">
        <v>66</v>
      </c>
      <c r="I38" t="e">
        <f t="shared" si="0"/>
        <v>#DIV/0!</v>
      </c>
    </row>
    <row r="39" spans="1:9" x14ac:dyDescent="0.2">
      <c r="A39" t="s">
        <v>196</v>
      </c>
      <c r="B39" t="s">
        <v>29</v>
      </c>
      <c r="C39" t="s">
        <v>23</v>
      </c>
      <c r="D39">
        <v>1</v>
      </c>
      <c r="E39" s="26">
        <v>0</v>
      </c>
      <c r="H39" t="s">
        <v>51</v>
      </c>
      <c r="I39" t="e">
        <f t="shared" si="0"/>
        <v>#DIV/0!</v>
      </c>
    </row>
    <row r="40" spans="1:9" x14ac:dyDescent="0.2">
      <c r="A40" t="s">
        <v>370</v>
      </c>
      <c r="B40" t="s">
        <v>49</v>
      </c>
      <c r="C40" t="s">
        <v>23</v>
      </c>
      <c r="D40">
        <v>4</v>
      </c>
      <c r="E40" s="26">
        <v>0.61</v>
      </c>
      <c r="H40" t="s">
        <v>119</v>
      </c>
      <c r="I40" t="e">
        <f t="shared" si="0"/>
        <v>#DIV/0!</v>
      </c>
    </row>
    <row r="41" spans="1:9" x14ac:dyDescent="0.2">
      <c r="A41" t="s">
        <v>370</v>
      </c>
      <c r="B41" t="s">
        <v>50</v>
      </c>
      <c r="C41" t="s">
        <v>23</v>
      </c>
      <c r="D41">
        <v>4</v>
      </c>
      <c r="E41" s="26">
        <v>10</v>
      </c>
      <c r="H41" t="s">
        <v>122</v>
      </c>
      <c r="I41" t="e">
        <f t="shared" si="0"/>
        <v>#DIV/0!</v>
      </c>
    </row>
    <row r="42" spans="1:9" x14ac:dyDescent="0.2">
      <c r="A42" t="s">
        <v>371</v>
      </c>
      <c r="B42" t="s">
        <v>29</v>
      </c>
      <c r="C42" t="s">
        <v>23</v>
      </c>
      <c r="D42">
        <v>4</v>
      </c>
      <c r="E42" s="26">
        <v>1.8</v>
      </c>
      <c r="H42" t="s">
        <v>123</v>
      </c>
      <c r="I42" t="e">
        <f t="shared" si="0"/>
        <v>#DIV/0!</v>
      </c>
    </row>
    <row r="43" spans="1:9" x14ac:dyDescent="0.2">
      <c r="A43" t="s">
        <v>372</v>
      </c>
      <c r="B43" t="s">
        <v>29</v>
      </c>
      <c r="C43" t="s">
        <v>23</v>
      </c>
      <c r="D43">
        <v>4</v>
      </c>
      <c r="E43" s="26">
        <v>0.91</v>
      </c>
      <c r="H43" t="s">
        <v>125</v>
      </c>
      <c r="I43" t="e">
        <f t="shared" si="0"/>
        <v>#DIV/0!</v>
      </c>
    </row>
    <row r="44" spans="1:9" x14ac:dyDescent="0.2">
      <c r="A44" t="s">
        <v>201</v>
      </c>
      <c r="B44" t="s">
        <v>50</v>
      </c>
      <c r="C44" t="s">
        <v>23</v>
      </c>
      <c r="D44">
        <v>4</v>
      </c>
      <c r="E44" s="26">
        <v>1.35</v>
      </c>
      <c r="H44" t="s">
        <v>55</v>
      </c>
      <c r="I44" t="e">
        <f t="shared" si="0"/>
        <v>#DIV/0!</v>
      </c>
    </row>
    <row r="45" spans="1:9" x14ac:dyDescent="0.2">
      <c r="A45" t="s">
        <v>373</v>
      </c>
      <c r="B45" t="s">
        <v>29</v>
      </c>
      <c r="C45" t="s">
        <v>23</v>
      </c>
      <c r="D45">
        <v>4</v>
      </c>
      <c r="E45" s="26">
        <v>0.15</v>
      </c>
      <c r="H45" t="s">
        <v>127</v>
      </c>
      <c r="I45" t="e">
        <f t="shared" si="0"/>
        <v>#DIV/0!</v>
      </c>
    </row>
    <row r="46" spans="1:9" x14ac:dyDescent="0.2">
      <c r="A46" t="s">
        <v>374</v>
      </c>
      <c r="B46" t="s">
        <v>29</v>
      </c>
      <c r="C46" t="s">
        <v>23</v>
      </c>
      <c r="D46">
        <v>4</v>
      </c>
      <c r="E46" s="26">
        <v>3.6</v>
      </c>
    </row>
    <row r="47" spans="1:9" x14ac:dyDescent="0.2">
      <c r="A47" t="s">
        <v>375</v>
      </c>
      <c r="B47" t="s">
        <v>49</v>
      </c>
      <c r="C47" t="s">
        <v>23</v>
      </c>
      <c r="D47">
        <v>4</v>
      </c>
      <c r="E47" s="26">
        <v>0.3</v>
      </c>
    </row>
    <row r="48" spans="1:9" x14ac:dyDescent="0.2">
      <c r="A48" t="s">
        <v>375</v>
      </c>
      <c r="B48" t="s">
        <v>50</v>
      </c>
      <c r="C48" t="s">
        <v>23</v>
      </c>
      <c r="D48">
        <v>4</v>
      </c>
      <c r="E48" s="26">
        <v>1.7</v>
      </c>
    </row>
    <row r="49" spans="1:5" x14ac:dyDescent="0.2">
      <c r="E49" s="26"/>
    </row>
    <row r="50" spans="1:5" ht="16" x14ac:dyDescent="0.2">
      <c r="A50" s="1" t="s">
        <v>155</v>
      </c>
      <c r="B50" s="1" t="s">
        <v>32</v>
      </c>
      <c r="C50" s="1" t="s">
        <v>23</v>
      </c>
      <c r="D50" s="5">
        <v>1</v>
      </c>
      <c r="E50" s="1">
        <v>65</v>
      </c>
    </row>
  </sheetData>
  <hyperlinks>
    <hyperlink ref="L3" r:id="rId1" xr:uid="{00000000-0004-0000-0500-000000000000}"/>
    <hyperlink ref="L1" r:id="rId2" xr:uid="{00000000-0004-0000-0500-000001000000}"/>
    <hyperlink ref="D50" r:id="rId3" display="http://tumor.informatics.jax.org/mtbwi/tumorSummary.do?strainKey=827&amp;organOfOriginKey=5&amp;tumorFrequencyKeys=4174" xr:uid="{00000000-0004-0000-0500-000002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66"/>
  <sheetViews>
    <sheetView topLeftCell="B1" workbookViewId="0">
      <selection activeCell="K9" sqref="K9"/>
    </sheetView>
  </sheetViews>
  <sheetFormatPr baseColWidth="10" defaultColWidth="8.83203125" defaultRowHeight="15" x14ac:dyDescent="0.2"/>
  <cols>
    <col min="1" max="1" width="62.1640625" bestFit="1" customWidth="1"/>
    <col min="2" max="2" width="48.83203125" bestFit="1" customWidth="1"/>
    <col min="3" max="3" width="19.5" bestFit="1" customWidth="1"/>
    <col min="8" max="8" width="33.5" bestFit="1" customWidth="1"/>
  </cols>
  <sheetData>
    <row r="1" spans="1:12" x14ac:dyDescent="0.2">
      <c r="A1" t="s">
        <v>382</v>
      </c>
      <c r="B1" t="s">
        <v>39</v>
      </c>
      <c r="C1" t="s">
        <v>23</v>
      </c>
      <c r="D1">
        <v>2</v>
      </c>
      <c r="E1">
        <v>0</v>
      </c>
      <c r="L1" t="s">
        <v>484</v>
      </c>
    </row>
    <row r="2" spans="1:12" x14ac:dyDescent="0.2">
      <c r="A2" t="s">
        <v>35</v>
      </c>
      <c r="B2" t="s">
        <v>39</v>
      </c>
      <c r="C2" t="s">
        <v>23</v>
      </c>
      <c r="D2">
        <v>1</v>
      </c>
      <c r="E2">
        <v>2.5</v>
      </c>
      <c r="H2" t="s">
        <v>35</v>
      </c>
      <c r="I2" t="e">
        <f ca="1">AVERAGEIF($B$1:$B$370,H2,$E$1:$E$286)</f>
        <v>#DIV/0!</v>
      </c>
    </row>
    <row r="3" spans="1:12" x14ac:dyDescent="0.2">
      <c r="A3" t="s">
        <v>35</v>
      </c>
      <c r="B3" t="s">
        <v>39</v>
      </c>
      <c r="C3" t="s">
        <v>23</v>
      </c>
      <c r="D3">
        <v>2</v>
      </c>
      <c r="E3">
        <v>0</v>
      </c>
      <c r="H3" t="s">
        <v>166</v>
      </c>
      <c r="I3">
        <f t="shared" ref="I3:I45" ca="1" si="0">AVERAGEIF($B$1:$B$370,H3,$E$1:$E$286)</f>
        <v>3.09375</v>
      </c>
    </row>
    <row r="4" spans="1:12" x14ac:dyDescent="0.2">
      <c r="A4" t="s">
        <v>383</v>
      </c>
      <c r="B4" t="s">
        <v>39</v>
      </c>
      <c r="C4" t="s">
        <v>23</v>
      </c>
      <c r="D4">
        <v>2</v>
      </c>
      <c r="E4">
        <v>2.5</v>
      </c>
      <c r="H4" t="s">
        <v>43</v>
      </c>
      <c r="I4">
        <f t="shared" ca="1" si="0"/>
        <v>1.75</v>
      </c>
    </row>
    <row r="5" spans="1:12" x14ac:dyDescent="0.2">
      <c r="A5" t="s">
        <v>169</v>
      </c>
      <c r="B5" t="s">
        <v>166</v>
      </c>
      <c r="C5" t="s">
        <v>23</v>
      </c>
      <c r="D5">
        <v>3</v>
      </c>
      <c r="E5">
        <v>1.25</v>
      </c>
      <c r="H5" t="s">
        <v>61</v>
      </c>
      <c r="I5" t="e">
        <f t="shared" ca="1" si="0"/>
        <v>#DIV/0!</v>
      </c>
    </row>
    <row r="6" spans="1:12" x14ac:dyDescent="0.2">
      <c r="A6" t="s">
        <v>170</v>
      </c>
      <c r="B6" t="s">
        <v>166</v>
      </c>
      <c r="C6" t="s">
        <v>23</v>
      </c>
      <c r="D6">
        <v>2</v>
      </c>
      <c r="E6">
        <v>0</v>
      </c>
      <c r="H6" t="s">
        <v>60</v>
      </c>
      <c r="I6" t="e">
        <f t="shared" ca="1" si="0"/>
        <v>#DIV/0!</v>
      </c>
    </row>
    <row r="7" spans="1:12" x14ac:dyDescent="0.2">
      <c r="A7" t="s">
        <v>302</v>
      </c>
      <c r="B7" t="s">
        <v>166</v>
      </c>
      <c r="C7" t="s">
        <v>23</v>
      </c>
      <c r="D7">
        <v>1</v>
      </c>
      <c r="E7">
        <v>1</v>
      </c>
      <c r="H7" t="s">
        <v>38</v>
      </c>
      <c r="I7">
        <f t="shared" ca="1" si="0"/>
        <v>0</v>
      </c>
    </row>
    <row r="8" spans="1:12" x14ac:dyDescent="0.2">
      <c r="A8" t="s">
        <v>139</v>
      </c>
      <c r="B8" t="s">
        <v>166</v>
      </c>
      <c r="C8" t="s">
        <v>23</v>
      </c>
      <c r="D8">
        <v>1</v>
      </c>
      <c r="E8">
        <v>2.5</v>
      </c>
      <c r="H8" t="s">
        <v>132</v>
      </c>
      <c r="I8">
        <f t="shared" ca="1" si="0"/>
        <v>1.75</v>
      </c>
    </row>
    <row r="9" spans="1:12" x14ac:dyDescent="0.2">
      <c r="A9" t="s">
        <v>384</v>
      </c>
      <c r="B9" t="s">
        <v>166</v>
      </c>
      <c r="C9" t="s">
        <v>23</v>
      </c>
      <c r="D9">
        <v>2</v>
      </c>
      <c r="E9">
        <v>17.5</v>
      </c>
      <c r="H9" t="s">
        <v>65</v>
      </c>
      <c r="I9">
        <f t="shared" ca="1" si="0"/>
        <v>0</v>
      </c>
    </row>
    <row r="10" spans="1:12" x14ac:dyDescent="0.2">
      <c r="A10" t="s">
        <v>385</v>
      </c>
      <c r="B10" t="s">
        <v>166</v>
      </c>
      <c r="C10" t="s">
        <v>23</v>
      </c>
      <c r="D10">
        <v>2</v>
      </c>
      <c r="E10">
        <v>0</v>
      </c>
      <c r="H10" t="s">
        <v>71</v>
      </c>
      <c r="I10" t="e">
        <f t="shared" ca="1" si="0"/>
        <v>#DIV/0!</v>
      </c>
    </row>
    <row r="11" spans="1:12" x14ac:dyDescent="0.2">
      <c r="A11" t="s">
        <v>386</v>
      </c>
      <c r="B11" t="s">
        <v>166</v>
      </c>
      <c r="C11" t="s">
        <v>23</v>
      </c>
      <c r="D11">
        <v>4</v>
      </c>
      <c r="E11">
        <v>2.5</v>
      </c>
      <c r="H11" t="s">
        <v>88</v>
      </c>
      <c r="I11">
        <f t="shared" ca="1" si="0"/>
        <v>1.25</v>
      </c>
    </row>
    <row r="12" spans="1:12" x14ac:dyDescent="0.2">
      <c r="A12" t="s">
        <v>387</v>
      </c>
      <c r="B12" t="s">
        <v>166</v>
      </c>
      <c r="C12" t="s">
        <v>23</v>
      </c>
      <c r="D12">
        <v>2</v>
      </c>
      <c r="E12">
        <v>0</v>
      </c>
      <c r="H12" t="s">
        <v>25</v>
      </c>
      <c r="I12">
        <f t="shared" ca="1" si="0"/>
        <v>1.6666666666666667</v>
      </c>
    </row>
    <row r="13" spans="1:12" x14ac:dyDescent="0.2">
      <c r="A13" t="s">
        <v>388</v>
      </c>
      <c r="B13" t="s">
        <v>43</v>
      </c>
      <c r="C13" t="s">
        <v>23</v>
      </c>
      <c r="D13">
        <v>1</v>
      </c>
      <c r="E13">
        <v>0</v>
      </c>
      <c r="H13" t="s">
        <v>74</v>
      </c>
      <c r="I13" t="e">
        <f t="shared" ca="1" si="0"/>
        <v>#DIV/0!</v>
      </c>
    </row>
    <row r="14" spans="1:12" x14ac:dyDescent="0.2">
      <c r="A14" t="s">
        <v>171</v>
      </c>
      <c r="B14" t="s">
        <v>43</v>
      </c>
      <c r="C14" t="s">
        <v>23</v>
      </c>
      <c r="D14">
        <v>2</v>
      </c>
      <c r="E14" s="24">
        <v>4</v>
      </c>
      <c r="H14" t="s">
        <v>76</v>
      </c>
      <c r="I14" t="e">
        <f t="shared" ca="1" si="0"/>
        <v>#DIV/0!</v>
      </c>
    </row>
    <row r="15" spans="1:12" x14ac:dyDescent="0.2">
      <c r="A15" t="s">
        <v>171</v>
      </c>
      <c r="B15" t="s">
        <v>43</v>
      </c>
      <c r="C15" t="s">
        <v>23</v>
      </c>
      <c r="D15">
        <v>2</v>
      </c>
      <c r="E15">
        <v>0</v>
      </c>
      <c r="H15" t="s">
        <v>26</v>
      </c>
      <c r="I15" t="e">
        <f t="shared" ca="1" si="0"/>
        <v>#DIV/0!</v>
      </c>
    </row>
    <row r="16" spans="1:12" x14ac:dyDescent="0.2">
      <c r="A16" t="s">
        <v>171</v>
      </c>
      <c r="B16" t="s">
        <v>43</v>
      </c>
      <c r="C16" t="s">
        <v>23</v>
      </c>
      <c r="D16">
        <v>1</v>
      </c>
      <c r="E16">
        <v>1</v>
      </c>
      <c r="H16" t="s">
        <v>78</v>
      </c>
      <c r="I16">
        <f t="shared" ca="1" si="0"/>
        <v>0.25925925925925924</v>
      </c>
    </row>
    <row r="17" spans="1:9" x14ac:dyDescent="0.2">
      <c r="A17" t="s">
        <v>171</v>
      </c>
      <c r="B17" t="s">
        <v>43</v>
      </c>
      <c r="C17" t="s">
        <v>23</v>
      </c>
      <c r="D17">
        <v>1</v>
      </c>
      <c r="E17">
        <v>0</v>
      </c>
      <c r="H17" t="s">
        <v>27</v>
      </c>
      <c r="I17">
        <f t="shared" ca="1" si="0"/>
        <v>2.411111111111111</v>
      </c>
    </row>
    <row r="18" spans="1:9" x14ac:dyDescent="0.2">
      <c r="A18" t="s">
        <v>389</v>
      </c>
      <c r="B18" t="s">
        <v>43</v>
      </c>
      <c r="C18" t="s">
        <v>23</v>
      </c>
      <c r="D18">
        <v>1</v>
      </c>
      <c r="E18">
        <v>2.5</v>
      </c>
      <c r="H18" t="s">
        <v>29</v>
      </c>
      <c r="I18">
        <f t="shared" ca="1" si="0"/>
        <v>6.7793103448275858</v>
      </c>
    </row>
    <row r="19" spans="1:9" x14ac:dyDescent="0.2">
      <c r="A19" t="s">
        <v>389</v>
      </c>
      <c r="B19" t="s">
        <v>43</v>
      </c>
      <c r="C19" t="s">
        <v>23</v>
      </c>
      <c r="D19">
        <v>1</v>
      </c>
      <c r="E19">
        <v>2.5</v>
      </c>
      <c r="H19" t="s">
        <v>30</v>
      </c>
      <c r="I19">
        <f t="shared" ca="1" si="0"/>
        <v>2.2847222222222223</v>
      </c>
    </row>
    <row r="20" spans="1:9" x14ac:dyDescent="0.2">
      <c r="A20" t="s">
        <v>390</v>
      </c>
      <c r="B20" t="s">
        <v>43</v>
      </c>
      <c r="C20" t="s">
        <v>23</v>
      </c>
      <c r="D20">
        <v>1</v>
      </c>
      <c r="E20">
        <v>2.5</v>
      </c>
      <c r="H20" t="s">
        <v>31</v>
      </c>
      <c r="I20">
        <f t="shared" ca="1" si="0"/>
        <v>3.2857142857142856</v>
      </c>
    </row>
    <row r="21" spans="1:9" x14ac:dyDescent="0.2">
      <c r="A21" t="s">
        <v>390</v>
      </c>
      <c r="B21" t="s">
        <v>43</v>
      </c>
      <c r="C21" t="s">
        <v>23</v>
      </c>
      <c r="D21">
        <v>1</v>
      </c>
      <c r="E21">
        <v>2.5</v>
      </c>
      <c r="H21" t="s">
        <v>86</v>
      </c>
      <c r="I21" t="e">
        <f t="shared" ca="1" si="0"/>
        <v>#DIV/0!</v>
      </c>
    </row>
    <row r="22" spans="1:9" x14ac:dyDescent="0.2">
      <c r="A22" t="s">
        <v>140</v>
      </c>
      <c r="B22" t="s">
        <v>43</v>
      </c>
      <c r="C22" t="s">
        <v>23</v>
      </c>
      <c r="D22">
        <v>2</v>
      </c>
      <c r="E22">
        <v>1.25</v>
      </c>
      <c r="H22" t="s">
        <v>32</v>
      </c>
      <c r="I22">
        <f t="shared" ca="1" si="0"/>
        <v>0.7</v>
      </c>
    </row>
    <row r="23" spans="1:9" x14ac:dyDescent="0.2">
      <c r="A23" t="s">
        <v>140</v>
      </c>
      <c r="B23" t="s">
        <v>43</v>
      </c>
      <c r="C23" t="s">
        <v>23</v>
      </c>
      <c r="D23">
        <v>7</v>
      </c>
      <c r="E23">
        <v>1</v>
      </c>
      <c r="H23" t="s">
        <v>133</v>
      </c>
      <c r="I23">
        <f t="shared" ca="1" si="0"/>
        <v>1.8545454545454545</v>
      </c>
    </row>
    <row r="24" spans="1:9" x14ac:dyDescent="0.2">
      <c r="A24" t="s">
        <v>140</v>
      </c>
      <c r="B24" t="s">
        <v>43</v>
      </c>
      <c r="C24" t="s">
        <v>23</v>
      </c>
      <c r="D24">
        <v>5</v>
      </c>
      <c r="E24">
        <v>2</v>
      </c>
      <c r="H24" t="s">
        <v>91</v>
      </c>
      <c r="I24" t="e">
        <f t="shared" ca="1" si="0"/>
        <v>#DIV/0!</v>
      </c>
    </row>
    <row r="25" spans="1:9" x14ac:dyDescent="0.2">
      <c r="A25" t="s">
        <v>140</v>
      </c>
      <c r="B25" t="s">
        <v>43</v>
      </c>
      <c r="C25" t="s">
        <v>23</v>
      </c>
      <c r="D25">
        <v>1</v>
      </c>
      <c r="E25">
        <v>2.5</v>
      </c>
      <c r="H25" t="s">
        <v>134</v>
      </c>
      <c r="I25">
        <f t="shared" ca="1" si="0"/>
        <v>0.9285714285714286</v>
      </c>
    </row>
    <row r="26" spans="1:9" x14ac:dyDescent="0.2">
      <c r="A26" t="s">
        <v>140</v>
      </c>
      <c r="B26" t="s">
        <v>43</v>
      </c>
      <c r="C26" t="s">
        <v>23</v>
      </c>
      <c r="D26">
        <v>1</v>
      </c>
      <c r="E26">
        <v>2.5</v>
      </c>
      <c r="H26" t="s">
        <v>96</v>
      </c>
      <c r="I26" t="e">
        <f t="shared" ca="1" si="0"/>
        <v>#DIV/0!</v>
      </c>
    </row>
    <row r="27" spans="1:9" x14ac:dyDescent="0.2">
      <c r="A27" t="s">
        <v>140</v>
      </c>
      <c r="B27" t="s">
        <v>43</v>
      </c>
      <c r="C27" t="s">
        <v>23</v>
      </c>
      <c r="D27">
        <v>1</v>
      </c>
      <c r="E27">
        <v>2.5</v>
      </c>
      <c r="H27" t="s">
        <v>135</v>
      </c>
      <c r="I27" t="e">
        <f t="shared" ca="1" si="0"/>
        <v>#DIV/0!</v>
      </c>
    </row>
    <row r="28" spans="1:9" x14ac:dyDescent="0.2">
      <c r="A28" t="s">
        <v>140</v>
      </c>
      <c r="B28" t="s">
        <v>43</v>
      </c>
      <c r="C28" t="s">
        <v>23</v>
      </c>
      <c r="D28">
        <v>2</v>
      </c>
      <c r="E28">
        <v>0</v>
      </c>
      <c r="H28" t="s">
        <v>56</v>
      </c>
      <c r="I28">
        <f t="shared" ca="1" si="0"/>
        <v>2.0357142857142856</v>
      </c>
    </row>
    <row r="29" spans="1:9" x14ac:dyDescent="0.2">
      <c r="A29" t="s">
        <v>391</v>
      </c>
      <c r="B29" t="s">
        <v>43</v>
      </c>
      <c r="C29" t="s">
        <v>23</v>
      </c>
      <c r="D29">
        <v>4</v>
      </c>
      <c r="E29">
        <v>3</v>
      </c>
      <c r="H29" t="s">
        <v>45</v>
      </c>
      <c r="I29">
        <f t="shared" ca="1" si="0"/>
        <v>0.625</v>
      </c>
    </row>
    <row r="30" spans="1:9" x14ac:dyDescent="0.2">
      <c r="A30" t="s">
        <v>392</v>
      </c>
      <c r="B30" t="s">
        <v>58</v>
      </c>
      <c r="C30" t="s">
        <v>23</v>
      </c>
      <c r="D30">
        <v>1</v>
      </c>
      <c r="E30">
        <v>1</v>
      </c>
      <c r="H30" t="s">
        <v>103</v>
      </c>
      <c r="I30" t="e">
        <f t="shared" ca="1" si="0"/>
        <v>#DIV/0!</v>
      </c>
    </row>
    <row r="31" spans="1:9" x14ac:dyDescent="0.2">
      <c r="A31" t="s">
        <v>393</v>
      </c>
      <c r="B31" t="s">
        <v>58</v>
      </c>
      <c r="C31" t="s">
        <v>23</v>
      </c>
      <c r="D31">
        <v>1</v>
      </c>
      <c r="E31">
        <v>2.5</v>
      </c>
      <c r="H31" t="s">
        <v>107</v>
      </c>
      <c r="I31">
        <f t="shared" ca="1" si="0"/>
        <v>7.8392857142857144</v>
      </c>
    </row>
    <row r="32" spans="1:9" x14ac:dyDescent="0.2">
      <c r="A32" t="s">
        <v>394</v>
      </c>
      <c r="B32" t="s">
        <v>58</v>
      </c>
      <c r="C32" t="s">
        <v>23</v>
      </c>
      <c r="D32">
        <v>2</v>
      </c>
      <c r="E32">
        <v>0</v>
      </c>
      <c r="H32" t="s">
        <v>108</v>
      </c>
      <c r="I32" t="e">
        <f t="shared" ca="1" si="0"/>
        <v>#DIV/0!</v>
      </c>
    </row>
    <row r="33" spans="1:9" x14ac:dyDescent="0.2">
      <c r="A33" t="s">
        <v>395</v>
      </c>
      <c r="B33" t="s">
        <v>58</v>
      </c>
      <c r="C33" t="s">
        <v>23</v>
      </c>
      <c r="D33">
        <v>11</v>
      </c>
      <c r="E33">
        <v>6.5</v>
      </c>
      <c r="H33" t="s">
        <v>101</v>
      </c>
      <c r="I33" t="e">
        <f t="shared" ca="1" si="0"/>
        <v>#DIV/0!</v>
      </c>
    </row>
    <row r="34" spans="1:9" x14ac:dyDescent="0.2">
      <c r="A34" t="s">
        <v>396</v>
      </c>
      <c r="B34" t="s">
        <v>58</v>
      </c>
      <c r="C34" t="s">
        <v>23</v>
      </c>
      <c r="D34">
        <v>2</v>
      </c>
      <c r="E34">
        <v>1</v>
      </c>
      <c r="H34" t="s">
        <v>34</v>
      </c>
      <c r="I34" t="e">
        <f t="shared" ca="1" si="0"/>
        <v>#DIV/0!</v>
      </c>
    </row>
    <row r="35" spans="1:9" x14ac:dyDescent="0.2">
      <c r="A35" t="s">
        <v>61</v>
      </c>
      <c r="B35" t="s">
        <v>58</v>
      </c>
      <c r="C35" t="s">
        <v>23</v>
      </c>
      <c r="D35">
        <v>2</v>
      </c>
      <c r="E35">
        <v>2.5</v>
      </c>
      <c r="H35" t="s">
        <v>110</v>
      </c>
      <c r="I35" t="e">
        <f t="shared" ca="1" si="0"/>
        <v>#DIV/0!</v>
      </c>
    </row>
    <row r="36" spans="1:9" x14ac:dyDescent="0.2">
      <c r="A36" t="s">
        <v>397</v>
      </c>
      <c r="B36" t="s">
        <v>38</v>
      </c>
      <c r="C36" t="s">
        <v>23</v>
      </c>
      <c r="D36">
        <v>1</v>
      </c>
      <c r="E36">
        <v>0</v>
      </c>
      <c r="H36" t="s">
        <v>112</v>
      </c>
      <c r="I36" t="e">
        <f t="shared" ca="1" si="0"/>
        <v>#DIV/0!</v>
      </c>
    </row>
    <row r="37" spans="1:9" x14ac:dyDescent="0.2">
      <c r="A37" t="s">
        <v>398</v>
      </c>
      <c r="B37" t="s">
        <v>132</v>
      </c>
      <c r="C37" t="s">
        <v>23</v>
      </c>
      <c r="D37">
        <v>1</v>
      </c>
      <c r="E37">
        <v>0</v>
      </c>
      <c r="H37" t="s">
        <v>37</v>
      </c>
      <c r="I37">
        <f t="shared" ca="1" si="0"/>
        <v>1.5333333333333334</v>
      </c>
    </row>
    <row r="38" spans="1:9" x14ac:dyDescent="0.2">
      <c r="A38" t="s">
        <v>399</v>
      </c>
      <c r="B38" t="s">
        <v>132</v>
      </c>
      <c r="C38" t="s">
        <v>23</v>
      </c>
      <c r="D38">
        <v>1</v>
      </c>
      <c r="E38">
        <v>0</v>
      </c>
      <c r="H38" t="s">
        <v>66</v>
      </c>
      <c r="I38">
        <f t="shared" ca="1" si="0"/>
        <v>2.8</v>
      </c>
    </row>
    <row r="39" spans="1:9" x14ac:dyDescent="0.2">
      <c r="A39" t="s">
        <v>399</v>
      </c>
      <c r="B39" t="s">
        <v>132</v>
      </c>
      <c r="C39" t="s">
        <v>23</v>
      </c>
      <c r="D39">
        <v>1</v>
      </c>
      <c r="E39">
        <v>0</v>
      </c>
      <c r="H39" t="s">
        <v>51</v>
      </c>
      <c r="I39">
        <f t="shared" ca="1" si="0"/>
        <v>1</v>
      </c>
    </row>
    <row r="40" spans="1:9" x14ac:dyDescent="0.2">
      <c r="A40" t="s">
        <v>141</v>
      </c>
      <c r="B40" t="s">
        <v>132</v>
      </c>
      <c r="C40" t="s">
        <v>23</v>
      </c>
      <c r="D40">
        <v>1</v>
      </c>
      <c r="E40">
        <v>4</v>
      </c>
      <c r="H40" t="s">
        <v>119</v>
      </c>
      <c r="I40" t="e">
        <f t="shared" ca="1" si="0"/>
        <v>#DIV/0!</v>
      </c>
    </row>
    <row r="41" spans="1:9" x14ac:dyDescent="0.2">
      <c r="A41" t="s">
        <v>141</v>
      </c>
      <c r="B41" t="s">
        <v>132</v>
      </c>
      <c r="C41" t="s">
        <v>23</v>
      </c>
      <c r="D41">
        <v>1</v>
      </c>
      <c r="E41">
        <v>2.5</v>
      </c>
      <c r="H41" t="s">
        <v>122</v>
      </c>
      <c r="I41">
        <f t="shared" ca="1" si="0"/>
        <v>3</v>
      </c>
    </row>
    <row r="42" spans="1:9" x14ac:dyDescent="0.2">
      <c r="A42" t="s">
        <v>141</v>
      </c>
      <c r="B42" t="s">
        <v>132</v>
      </c>
      <c r="C42" t="s">
        <v>23</v>
      </c>
      <c r="D42">
        <v>1</v>
      </c>
      <c r="E42">
        <v>2.5</v>
      </c>
      <c r="H42" t="s">
        <v>123</v>
      </c>
      <c r="I42" t="e">
        <f t="shared" ca="1" si="0"/>
        <v>#DIV/0!</v>
      </c>
    </row>
    <row r="43" spans="1:9" x14ac:dyDescent="0.2">
      <c r="A43" t="s">
        <v>141</v>
      </c>
      <c r="B43" t="s">
        <v>132</v>
      </c>
      <c r="C43" t="s">
        <v>23</v>
      </c>
      <c r="D43">
        <v>1</v>
      </c>
      <c r="E43">
        <v>2.5</v>
      </c>
      <c r="H43" t="s">
        <v>125</v>
      </c>
      <c r="I43" t="e">
        <f t="shared" ca="1" si="0"/>
        <v>#DIV/0!</v>
      </c>
    </row>
    <row r="44" spans="1:9" x14ac:dyDescent="0.2">
      <c r="A44" t="s">
        <v>141</v>
      </c>
      <c r="B44" t="s">
        <v>132</v>
      </c>
      <c r="C44" t="s">
        <v>23</v>
      </c>
      <c r="D44">
        <v>1</v>
      </c>
      <c r="E44">
        <v>2.5</v>
      </c>
      <c r="H44" t="s">
        <v>55</v>
      </c>
      <c r="I44">
        <f t="shared" ca="1" si="0"/>
        <v>5.5</v>
      </c>
    </row>
    <row r="45" spans="1:9" x14ac:dyDescent="0.2">
      <c r="A45" t="s">
        <v>172</v>
      </c>
      <c r="B45" t="s">
        <v>52</v>
      </c>
      <c r="C45" t="s">
        <v>23</v>
      </c>
      <c r="D45">
        <v>1</v>
      </c>
      <c r="E45">
        <v>0</v>
      </c>
      <c r="H45" t="s">
        <v>127</v>
      </c>
      <c r="I45" t="e">
        <f t="shared" ca="1" si="0"/>
        <v>#DIV/0!</v>
      </c>
    </row>
    <row r="46" spans="1:9" x14ac:dyDescent="0.2">
      <c r="A46" t="s">
        <v>400</v>
      </c>
      <c r="B46" t="s">
        <v>50</v>
      </c>
      <c r="C46" t="s">
        <v>23</v>
      </c>
      <c r="D46">
        <v>3</v>
      </c>
      <c r="E46">
        <v>0</v>
      </c>
    </row>
    <row r="47" spans="1:9" x14ac:dyDescent="0.2">
      <c r="A47" t="s">
        <v>400</v>
      </c>
      <c r="B47" t="s">
        <v>30</v>
      </c>
      <c r="C47" t="s">
        <v>23</v>
      </c>
      <c r="D47">
        <v>1</v>
      </c>
      <c r="E47">
        <v>0</v>
      </c>
    </row>
    <row r="48" spans="1:9" x14ac:dyDescent="0.2">
      <c r="A48" t="s">
        <v>401</v>
      </c>
      <c r="B48" t="s">
        <v>173</v>
      </c>
      <c r="C48" t="s">
        <v>23</v>
      </c>
      <c r="D48">
        <v>2</v>
      </c>
      <c r="E48">
        <v>0</v>
      </c>
    </row>
    <row r="49" spans="1:5" x14ac:dyDescent="0.2">
      <c r="A49" t="s">
        <v>402</v>
      </c>
      <c r="B49" t="s">
        <v>70</v>
      </c>
      <c r="C49" t="s">
        <v>23</v>
      </c>
      <c r="D49">
        <v>3</v>
      </c>
      <c r="E49">
        <v>0</v>
      </c>
    </row>
    <row r="50" spans="1:5" x14ac:dyDescent="0.2">
      <c r="A50" t="s">
        <v>347</v>
      </c>
      <c r="B50" t="s">
        <v>70</v>
      </c>
      <c r="C50" t="s">
        <v>23</v>
      </c>
      <c r="D50">
        <v>1</v>
      </c>
      <c r="E50">
        <v>0</v>
      </c>
    </row>
    <row r="51" spans="1:5" x14ac:dyDescent="0.2">
      <c r="A51" t="s">
        <v>175</v>
      </c>
      <c r="B51" t="s">
        <v>88</v>
      </c>
      <c r="C51" t="s">
        <v>23</v>
      </c>
      <c r="D51">
        <v>1</v>
      </c>
      <c r="E51">
        <v>2.5</v>
      </c>
    </row>
    <row r="52" spans="1:5" x14ac:dyDescent="0.2">
      <c r="A52" t="s">
        <v>403</v>
      </c>
      <c r="B52" t="s">
        <v>88</v>
      </c>
      <c r="C52" t="s">
        <v>23</v>
      </c>
      <c r="D52">
        <v>4</v>
      </c>
      <c r="E52">
        <v>0</v>
      </c>
    </row>
    <row r="53" spans="1:5" x14ac:dyDescent="0.2">
      <c r="A53" t="s">
        <v>404</v>
      </c>
      <c r="B53" t="s">
        <v>25</v>
      </c>
      <c r="C53" t="s">
        <v>23</v>
      </c>
      <c r="D53">
        <v>1</v>
      </c>
      <c r="E53">
        <v>0</v>
      </c>
    </row>
    <row r="54" spans="1:5" x14ac:dyDescent="0.2">
      <c r="A54" t="s">
        <v>405</v>
      </c>
      <c r="B54" t="s">
        <v>25</v>
      </c>
      <c r="C54" t="s">
        <v>23</v>
      </c>
      <c r="D54">
        <v>2</v>
      </c>
      <c r="E54">
        <v>0</v>
      </c>
    </row>
    <row r="55" spans="1:5" x14ac:dyDescent="0.2">
      <c r="A55" t="s">
        <v>177</v>
      </c>
      <c r="B55" t="s">
        <v>25</v>
      </c>
      <c r="C55" t="s">
        <v>23</v>
      </c>
      <c r="D55">
        <v>2</v>
      </c>
      <c r="E55">
        <v>5</v>
      </c>
    </row>
    <row r="56" spans="1:5" x14ac:dyDescent="0.2">
      <c r="A56" t="s">
        <v>178</v>
      </c>
      <c r="B56" t="s">
        <v>75</v>
      </c>
      <c r="C56" t="s">
        <v>23</v>
      </c>
      <c r="D56">
        <v>2</v>
      </c>
      <c r="E56">
        <v>0</v>
      </c>
    </row>
    <row r="57" spans="1:5" x14ac:dyDescent="0.2">
      <c r="A57" t="s">
        <v>179</v>
      </c>
      <c r="B57" t="s">
        <v>75</v>
      </c>
      <c r="C57" t="s">
        <v>23</v>
      </c>
      <c r="D57">
        <v>2</v>
      </c>
      <c r="E57">
        <v>0</v>
      </c>
    </row>
    <row r="58" spans="1:5" x14ac:dyDescent="0.2">
      <c r="A58" t="s">
        <v>180</v>
      </c>
      <c r="B58" t="s">
        <v>75</v>
      </c>
      <c r="C58" t="s">
        <v>23</v>
      </c>
      <c r="D58">
        <v>2</v>
      </c>
      <c r="E58">
        <v>0</v>
      </c>
    </row>
    <row r="59" spans="1:5" x14ac:dyDescent="0.2">
      <c r="A59" t="s">
        <v>76</v>
      </c>
      <c r="B59" t="s">
        <v>77</v>
      </c>
      <c r="C59" t="s">
        <v>23</v>
      </c>
      <c r="D59">
        <v>1</v>
      </c>
      <c r="E59">
        <v>0</v>
      </c>
    </row>
    <row r="60" spans="1:5" x14ac:dyDescent="0.2">
      <c r="A60" t="s">
        <v>406</v>
      </c>
      <c r="B60" t="s">
        <v>407</v>
      </c>
      <c r="C60" t="s">
        <v>23</v>
      </c>
      <c r="D60">
        <v>1</v>
      </c>
      <c r="E60">
        <v>2.5</v>
      </c>
    </row>
    <row r="61" spans="1:5" x14ac:dyDescent="0.2">
      <c r="A61" t="s">
        <v>182</v>
      </c>
      <c r="B61" t="s">
        <v>78</v>
      </c>
      <c r="C61" t="s">
        <v>23</v>
      </c>
      <c r="D61">
        <v>2</v>
      </c>
      <c r="E61">
        <v>0</v>
      </c>
    </row>
    <row r="62" spans="1:5" x14ac:dyDescent="0.2">
      <c r="A62" t="s">
        <v>408</v>
      </c>
      <c r="B62" t="s">
        <v>78</v>
      </c>
      <c r="C62" t="s">
        <v>23</v>
      </c>
      <c r="D62">
        <v>1</v>
      </c>
      <c r="E62">
        <v>0</v>
      </c>
    </row>
    <row r="63" spans="1:5" x14ac:dyDescent="0.2">
      <c r="A63" t="s">
        <v>409</v>
      </c>
      <c r="B63" t="s">
        <v>78</v>
      </c>
      <c r="C63" t="s">
        <v>23</v>
      </c>
      <c r="D63">
        <v>1</v>
      </c>
      <c r="E63">
        <v>0</v>
      </c>
    </row>
    <row r="64" spans="1:5" x14ac:dyDescent="0.2">
      <c r="A64" t="s">
        <v>410</v>
      </c>
      <c r="B64" t="s">
        <v>78</v>
      </c>
      <c r="C64" t="s">
        <v>23</v>
      </c>
      <c r="D64">
        <v>1</v>
      </c>
      <c r="E64">
        <v>0</v>
      </c>
    </row>
    <row r="65" spans="1:5" x14ac:dyDescent="0.2">
      <c r="A65" t="s">
        <v>411</v>
      </c>
      <c r="B65" t="s">
        <v>78</v>
      </c>
      <c r="C65" t="s">
        <v>23</v>
      </c>
      <c r="D65">
        <v>1</v>
      </c>
      <c r="E65">
        <v>0</v>
      </c>
    </row>
    <row r="66" spans="1:5" x14ac:dyDescent="0.2">
      <c r="A66" t="s">
        <v>412</v>
      </c>
      <c r="B66" t="s">
        <v>78</v>
      </c>
      <c r="C66" t="s">
        <v>23</v>
      </c>
      <c r="D66">
        <v>1</v>
      </c>
      <c r="E66">
        <v>0</v>
      </c>
    </row>
    <row r="67" spans="1:5" x14ac:dyDescent="0.2">
      <c r="A67" t="s">
        <v>413</v>
      </c>
      <c r="B67" t="s">
        <v>78</v>
      </c>
      <c r="C67" t="s">
        <v>23</v>
      </c>
      <c r="D67">
        <v>1</v>
      </c>
      <c r="E67">
        <v>0</v>
      </c>
    </row>
    <row r="68" spans="1:5" x14ac:dyDescent="0.2">
      <c r="A68" t="s">
        <v>142</v>
      </c>
      <c r="B68" t="s">
        <v>78</v>
      </c>
      <c r="C68" t="s">
        <v>23</v>
      </c>
      <c r="D68">
        <v>2</v>
      </c>
      <c r="E68">
        <v>0</v>
      </c>
    </row>
    <row r="69" spans="1:5" x14ac:dyDescent="0.2">
      <c r="A69" t="s">
        <v>377</v>
      </c>
      <c r="B69" t="s">
        <v>78</v>
      </c>
      <c r="C69" t="s">
        <v>23</v>
      </c>
      <c r="D69">
        <v>1</v>
      </c>
      <c r="E69">
        <v>0</v>
      </c>
    </row>
    <row r="70" spans="1:5" x14ac:dyDescent="0.2">
      <c r="A70" t="s">
        <v>185</v>
      </c>
      <c r="B70" t="s">
        <v>78</v>
      </c>
      <c r="C70" t="s">
        <v>23</v>
      </c>
      <c r="D70">
        <v>2</v>
      </c>
      <c r="E70">
        <v>0</v>
      </c>
    </row>
    <row r="71" spans="1:5" x14ac:dyDescent="0.2">
      <c r="A71" t="s">
        <v>186</v>
      </c>
      <c r="B71" t="s">
        <v>78</v>
      </c>
      <c r="C71" t="s">
        <v>23</v>
      </c>
      <c r="D71">
        <v>3</v>
      </c>
      <c r="E71">
        <v>1.25</v>
      </c>
    </row>
    <row r="72" spans="1:5" x14ac:dyDescent="0.2">
      <c r="A72" t="s">
        <v>414</v>
      </c>
      <c r="B72" t="s">
        <v>78</v>
      </c>
      <c r="C72" t="s">
        <v>23</v>
      </c>
      <c r="D72">
        <v>1</v>
      </c>
      <c r="E72">
        <v>0</v>
      </c>
    </row>
    <row r="73" spans="1:5" x14ac:dyDescent="0.2">
      <c r="A73" t="s">
        <v>187</v>
      </c>
      <c r="B73" t="s">
        <v>78</v>
      </c>
      <c r="C73" t="s">
        <v>23</v>
      </c>
      <c r="D73">
        <v>3</v>
      </c>
      <c r="E73">
        <v>0</v>
      </c>
    </row>
    <row r="74" spans="1:5" x14ac:dyDescent="0.2">
      <c r="A74" t="s">
        <v>188</v>
      </c>
      <c r="B74" t="s">
        <v>78</v>
      </c>
      <c r="C74" t="s">
        <v>23</v>
      </c>
      <c r="D74">
        <v>2</v>
      </c>
      <c r="E74">
        <v>0</v>
      </c>
    </row>
    <row r="75" spans="1:5" x14ac:dyDescent="0.2">
      <c r="A75" t="s">
        <v>189</v>
      </c>
      <c r="B75" t="s">
        <v>78</v>
      </c>
      <c r="C75" t="s">
        <v>23</v>
      </c>
      <c r="D75">
        <v>2</v>
      </c>
      <c r="E75">
        <v>0</v>
      </c>
    </row>
    <row r="76" spans="1:5" x14ac:dyDescent="0.2">
      <c r="A76" t="s">
        <v>190</v>
      </c>
      <c r="B76" t="s">
        <v>78</v>
      </c>
      <c r="C76" t="s">
        <v>23</v>
      </c>
      <c r="D76">
        <v>2</v>
      </c>
      <c r="E76">
        <v>0</v>
      </c>
    </row>
    <row r="77" spans="1:5" x14ac:dyDescent="0.2">
      <c r="A77" t="s">
        <v>415</v>
      </c>
      <c r="B77" t="s">
        <v>78</v>
      </c>
      <c r="C77" t="s">
        <v>23</v>
      </c>
      <c r="D77">
        <v>1</v>
      </c>
      <c r="E77">
        <v>0</v>
      </c>
    </row>
    <row r="78" spans="1:5" x14ac:dyDescent="0.2">
      <c r="A78" t="s">
        <v>416</v>
      </c>
      <c r="B78" t="s">
        <v>78</v>
      </c>
      <c r="C78" t="s">
        <v>23</v>
      </c>
      <c r="D78">
        <v>1</v>
      </c>
      <c r="E78">
        <v>0</v>
      </c>
    </row>
    <row r="79" spans="1:5" x14ac:dyDescent="0.2">
      <c r="A79" t="s">
        <v>191</v>
      </c>
      <c r="B79" t="s">
        <v>78</v>
      </c>
      <c r="C79" t="s">
        <v>23</v>
      </c>
      <c r="D79">
        <v>2</v>
      </c>
      <c r="E79">
        <v>0</v>
      </c>
    </row>
    <row r="80" spans="1:5" x14ac:dyDescent="0.2">
      <c r="A80" t="s">
        <v>417</v>
      </c>
      <c r="B80" t="s">
        <v>78</v>
      </c>
      <c r="C80" t="s">
        <v>23</v>
      </c>
      <c r="D80">
        <v>1</v>
      </c>
      <c r="E80">
        <v>0</v>
      </c>
    </row>
    <row r="81" spans="1:5" x14ac:dyDescent="0.2">
      <c r="A81" t="s">
        <v>418</v>
      </c>
      <c r="B81" t="s">
        <v>78</v>
      </c>
      <c r="C81" t="s">
        <v>23</v>
      </c>
      <c r="D81">
        <v>1</v>
      </c>
      <c r="E81">
        <v>0</v>
      </c>
    </row>
    <row r="82" spans="1:5" x14ac:dyDescent="0.2">
      <c r="A82" t="s">
        <v>192</v>
      </c>
      <c r="B82" t="s">
        <v>78</v>
      </c>
      <c r="C82" t="s">
        <v>23</v>
      </c>
      <c r="D82">
        <v>2</v>
      </c>
      <c r="E82">
        <v>0</v>
      </c>
    </row>
    <row r="83" spans="1:5" x14ac:dyDescent="0.2">
      <c r="A83" t="s">
        <v>193</v>
      </c>
      <c r="B83" t="s">
        <v>78</v>
      </c>
      <c r="C83" t="s">
        <v>23</v>
      </c>
      <c r="D83">
        <v>3</v>
      </c>
      <c r="E83">
        <v>1.25</v>
      </c>
    </row>
    <row r="84" spans="1:5" x14ac:dyDescent="0.2">
      <c r="A84" t="s">
        <v>419</v>
      </c>
      <c r="B84" t="s">
        <v>78</v>
      </c>
      <c r="C84" t="s">
        <v>23</v>
      </c>
      <c r="D84">
        <v>1</v>
      </c>
      <c r="E84">
        <v>0</v>
      </c>
    </row>
    <row r="85" spans="1:5" x14ac:dyDescent="0.2">
      <c r="A85" t="s">
        <v>420</v>
      </c>
      <c r="B85" t="s">
        <v>78</v>
      </c>
      <c r="C85" t="s">
        <v>23</v>
      </c>
      <c r="D85">
        <v>2</v>
      </c>
      <c r="E85">
        <v>2</v>
      </c>
    </row>
    <row r="86" spans="1:5" x14ac:dyDescent="0.2">
      <c r="A86" t="s">
        <v>421</v>
      </c>
      <c r="B86" t="s">
        <v>78</v>
      </c>
      <c r="C86" t="s">
        <v>23</v>
      </c>
      <c r="D86">
        <v>2</v>
      </c>
      <c r="E86">
        <v>1.25</v>
      </c>
    </row>
    <row r="87" spans="1:5" x14ac:dyDescent="0.2">
      <c r="A87" t="s">
        <v>422</v>
      </c>
      <c r="B87" t="s">
        <v>78</v>
      </c>
      <c r="C87" t="s">
        <v>23</v>
      </c>
      <c r="D87">
        <v>2</v>
      </c>
      <c r="E87">
        <v>1.25</v>
      </c>
    </row>
    <row r="88" spans="1:5" x14ac:dyDescent="0.2">
      <c r="A88" t="s">
        <v>423</v>
      </c>
      <c r="B88" t="s">
        <v>27</v>
      </c>
      <c r="C88" t="s">
        <v>23</v>
      </c>
      <c r="D88">
        <v>1</v>
      </c>
      <c r="E88">
        <v>7.7</v>
      </c>
    </row>
    <row r="89" spans="1:5" x14ac:dyDescent="0.2">
      <c r="A89" t="s">
        <v>424</v>
      </c>
      <c r="B89" t="s">
        <v>27</v>
      </c>
      <c r="C89" t="s">
        <v>23</v>
      </c>
      <c r="D89">
        <v>1</v>
      </c>
      <c r="E89">
        <v>2.5</v>
      </c>
    </row>
    <row r="90" spans="1:5" x14ac:dyDescent="0.2">
      <c r="A90" t="s">
        <v>195</v>
      </c>
      <c r="B90" t="s">
        <v>27</v>
      </c>
      <c r="C90" t="s">
        <v>23</v>
      </c>
      <c r="D90">
        <v>2</v>
      </c>
      <c r="E90">
        <v>0</v>
      </c>
    </row>
    <row r="91" spans="1:5" x14ac:dyDescent="0.2">
      <c r="A91" t="s">
        <v>348</v>
      </c>
      <c r="B91" t="s">
        <v>27</v>
      </c>
      <c r="C91" t="s">
        <v>23</v>
      </c>
      <c r="D91">
        <v>2</v>
      </c>
      <c r="E91">
        <v>2.5</v>
      </c>
    </row>
    <row r="92" spans="1:5" x14ac:dyDescent="0.2">
      <c r="A92" t="s">
        <v>425</v>
      </c>
      <c r="B92" t="s">
        <v>27</v>
      </c>
      <c r="C92" t="s">
        <v>23</v>
      </c>
      <c r="D92">
        <v>2</v>
      </c>
      <c r="E92">
        <v>3</v>
      </c>
    </row>
    <row r="93" spans="1:5" x14ac:dyDescent="0.2">
      <c r="A93" t="s">
        <v>426</v>
      </c>
      <c r="B93" t="s">
        <v>27</v>
      </c>
      <c r="C93" t="s">
        <v>23</v>
      </c>
      <c r="D93">
        <v>2</v>
      </c>
      <c r="E93">
        <v>4</v>
      </c>
    </row>
    <row r="94" spans="1:5" x14ac:dyDescent="0.2">
      <c r="A94" t="s">
        <v>427</v>
      </c>
      <c r="B94" t="s">
        <v>27</v>
      </c>
      <c r="C94" t="s">
        <v>23</v>
      </c>
      <c r="D94">
        <v>2</v>
      </c>
      <c r="E94">
        <v>1</v>
      </c>
    </row>
    <row r="95" spans="1:5" x14ac:dyDescent="0.2">
      <c r="A95" t="s">
        <v>428</v>
      </c>
      <c r="B95" t="s">
        <v>27</v>
      </c>
      <c r="C95" t="s">
        <v>23</v>
      </c>
      <c r="D95">
        <v>2</v>
      </c>
      <c r="E95">
        <v>1</v>
      </c>
    </row>
    <row r="96" spans="1:5" x14ac:dyDescent="0.2">
      <c r="A96" t="s">
        <v>429</v>
      </c>
      <c r="B96" t="s">
        <v>27</v>
      </c>
      <c r="C96" t="s">
        <v>23</v>
      </c>
      <c r="D96">
        <v>1</v>
      </c>
      <c r="E96">
        <v>0</v>
      </c>
    </row>
    <row r="97" spans="1:5" x14ac:dyDescent="0.2">
      <c r="A97" t="s">
        <v>197</v>
      </c>
      <c r="B97" t="s">
        <v>29</v>
      </c>
      <c r="C97" t="s">
        <v>23</v>
      </c>
      <c r="D97">
        <v>2</v>
      </c>
      <c r="E97">
        <v>0</v>
      </c>
    </row>
    <row r="98" spans="1:5" x14ac:dyDescent="0.2">
      <c r="A98" t="s">
        <v>144</v>
      </c>
      <c r="B98" t="s">
        <v>29</v>
      </c>
      <c r="C98" t="s">
        <v>23</v>
      </c>
      <c r="D98">
        <v>4</v>
      </c>
      <c r="E98">
        <v>3</v>
      </c>
    </row>
    <row r="99" spans="1:5" x14ac:dyDescent="0.2">
      <c r="A99" t="s">
        <v>144</v>
      </c>
      <c r="B99" t="s">
        <v>29</v>
      </c>
      <c r="C99" t="s">
        <v>23</v>
      </c>
      <c r="D99">
        <v>1</v>
      </c>
      <c r="E99">
        <v>7.7</v>
      </c>
    </row>
    <row r="100" spans="1:5" x14ac:dyDescent="0.2">
      <c r="A100" t="s">
        <v>144</v>
      </c>
      <c r="B100" t="s">
        <v>29</v>
      </c>
      <c r="C100" t="s">
        <v>23</v>
      </c>
      <c r="D100">
        <v>1</v>
      </c>
      <c r="E100">
        <v>0</v>
      </c>
    </row>
    <row r="101" spans="1:5" x14ac:dyDescent="0.2">
      <c r="A101" t="s">
        <v>144</v>
      </c>
      <c r="B101" t="s">
        <v>29</v>
      </c>
      <c r="C101" t="s">
        <v>23</v>
      </c>
      <c r="D101">
        <v>1</v>
      </c>
      <c r="E101">
        <v>7.7</v>
      </c>
    </row>
    <row r="102" spans="1:5" x14ac:dyDescent="0.2">
      <c r="A102" t="s">
        <v>199</v>
      </c>
      <c r="B102" t="s">
        <v>29</v>
      </c>
      <c r="C102" t="s">
        <v>23</v>
      </c>
      <c r="D102">
        <v>7</v>
      </c>
      <c r="E102">
        <v>26</v>
      </c>
    </row>
    <row r="103" spans="1:5" x14ac:dyDescent="0.2">
      <c r="A103" t="s">
        <v>199</v>
      </c>
      <c r="B103" t="s">
        <v>29</v>
      </c>
      <c r="C103" t="s">
        <v>23</v>
      </c>
      <c r="D103">
        <v>1</v>
      </c>
      <c r="E103">
        <v>0</v>
      </c>
    </row>
    <row r="104" spans="1:5" x14ac:dyDescent="0.2">
      <c r="A104" t="s">
        <v>199</v>
      </c>
      <c r="B104" t="s">
        <v>29</v>
      </c>
      <c r="C104" t="s">
        <v>23</v>
      </c>
      <c r="D104">
        <v>1</v>
      </c>
      <c r="E104">
        <v>7.7</v>
      </c>
    </row>
    <row r="105" spans="1:5" x14ac:dyDescent="0.2">
      <c r="A105" t="s">
        <v>199</v>
      </c>
      <c r="B105" t="s">
        <v>29</v>
      </c>
      <c r="C105" t="s">
        <v>23</v>
      </c>
      <c r="D105">
        <v>3</v>
      </c>
      <c r="E105">
        <v>7.5</v>
      </c>
    </row>
    <row r="106" spans="1:5" x14ac:dyDescent="0.2">
      <c r="A106" t="s">
        <v>199</v>
      </c>
      <c r="B106" t="s">
        <v>29</v>
      </c>
      <c r="C106" t="s">
        <v>23</v>
      </c>
      <c r="D106">
        <v>3</v>
      </c>
      <c r="E106">
        <v>6</v>
      </c>
    </row>
    <row r="107" spans="1:5" x14ac:dyDescent="0.2">
      <c r="A107" t="s">
        <v>199</v>
      </c>
      <c r="B107" t="s">
        <v>29</v>
      </c>
      <c r="C107" t="s">
        <v>23</v>
      </c>
      <c r="D107">
        <v>1</v>
      </c>
      <c r="E107">
        <v>0</v>
      </c>
    </row>
    <row r="108" spans="1:5" x14ac:dyDescent="0.2">
      <c r="A108" t="s">
        <v>199</v>
      </c>
      <c r="B108" t="s">
        <v>29</v>
      </c>
      <c r="C108" t="s">
        <v>23</v>
      </c>
      <c r="D108">
        <v>1</v>
      </c>
      <c r="E108">
        <v>2.5</v>
      </c>
    </row>
    <row r="109" spans="1:5" x14ac:dyDescent="0.2">
      <c r="A109" t="s">
        <v>199</v>
      </c>
      <c r="B109" t="s">
        <v>29</v>
      </c>
      <c r="C109" t="s">
        <v>23</v>
      </c>
      <c r="D109">
        <v>1</v>
      </c>
      <c r="E109">
        <v>2.5</v>
      </c>
    </row>
    <row r="110" spans="1:5" x14ac:dyDescent="0.2">
      <c r="A110" t="s">
        <v>200</v>
      </c>
      <c r="B110" t="s">
        <v>29</v>
      </c>
      <c r="C110" t="s">
        <v>23</v>
      </c>
      <c r="D110">
        <v>2</v>
      </c>
      <c r="E110">
        <v>1</v>
      </c>
    </row>
    <row r="111" spans="1:5" x14ac:dyDescent="0.2">
      <c r="A111" t="s">
        <v>200</v>
      </c>
      <c r="B111" t="s">
        <v>29</v>
      </c>
      <c r="C111" t="s">
        <v>23</v>
      </c>
      <c r="D111">
        <v>2</v>
      </c>
      <c r="E111">
        <v>0</v>
      </c>
    </row>
    <row r="112" spans="1:5" x14ac:dyDescent="0.2">
      <c r="A112" t="s">
        <v>200</v>
      </c>
      <c r="B112" t="s">
        <v>29</v>
      </c>
      <c r="C112" t="s">
        <v>23</v>
      </c>
      <c r="D112">
        <v>4</v>
      </c>
      <c r="E112">
        <v>0</v>
      </c>
    </row>
    <row r="113" spans="1:5" x14ac:dyDescent="0.2">
      <c r="A113" t="s">
        <v>200</v>
      </c>
      <c r="B113" t="s">
        <v>29</v>
      </c>
      <c r="C113" t="s">
        <v>23</v>
      </c>
      <c r="D113">
        <v>2</v>
      </c>
      <c r="E113">
        <v>0</v>
      </c>
    </row>
    <row r="114" spans="1:5" x14ac:dyDescent="0.2">
      <c r="A114" t="s">
        <v>201</v>
      </c>
      <c r="B114" t="s">
        <v>29</v>
      </c>
      <c r="C114" t="s">
        <v>23</v>
      </c>
      <c r="D114">
        <v>2</v>
      </c>
      <c r="E114">
        <v>0</v>
      </c>
    </row>
    <row r="115" spans="1:5" x14ac:dyDescent="0.2">
      <c r="A115" t="s">
        <v>146</v>
      </c>
      <c r="B115" t="s">
        <v>29</v>
      </c>
      <c r="C115" t="s">
        <v>23</v>
      </c>
      <c r="D115">
        <v>6</v>
      </c>
      <c r="E115">
        <v>8</v>
      </c>
    </row>
    <row r="116" spans="1:5" x14ac:dyDescent="0.2">
      <c r="A116" t="s">
        <v>147</v>
      </c>
      <c r="B116" t="s">
        <v>29</v>
      </c>
      <c r="C116" t="s">
        <v>23</v>
      </c>
      <c r="D116">
        <v>10</v>
      </c>
      <c r="E116">
        <v>29</v>
      </c>
    </row>
    <row r="117" spans="1:5" x14ac:dyDescent="0.2">
      <c r="A117" t="s">
        <v>147</v>
      </c>
      <c r="B117" t="s">
        <v>29</v>
      </c>
      <c r="C117" t="s">
        <v>23</v>
      </c>
      <c r="D117">
        <v>1</v>
      </c>
      <c r="E117">
        <v>0</v>
      </c>
    </row>
    <row r="118" spans="1:5" x14ac:dyDescent="0.2">
      <c r="A118" t="s">
        <v>147</v>
      </c>
      <c r="B118" t="s">
        <v>29</v>
      </c>
      <c r="C118" t="s">
        <v>23</v>
      </c>
      <c r="D118">
        <v>1</v>
      </c>
      <c r="E118">
        <v>0</v>
      </c>
    </row>
    <row r="119" spans="1:5" x14ac:dyDescent="0.2">
      <c r="A119" t="s">
        <v>147</v>
      </c>
      <c r="B119" t="s">
        <v>29</v>
      </c>
      <c r="C119" t="s">
        <v>23</v>
      </c>
      <c r="D119">
        <v>1</v>
      </c>
      <c r="E119">
        <v>0</v>
      </c>
    </row>
    <row r="120" spans="1:5" x14ac:dyDescent="0.2">
      <c r="A120" t="s">
        <v>147</v>
      </c>
      <c r="B120" t="s">
        <v>29</v>
      </c>
      <c r="C120" t="s">
        <v>23</v>
      </c>
      <c r="D120">
        <v>1</v>
      </c>
      <c r="E120">
        <v>0</v>
      </c>
    </row>
    <row r="121" spans="1:5" x14ac:dyDescent="0.2">
      <c r="A121" t="s">
        <v>147</v>
      </c>
      <c r="B121" t="s">
        <v>29</v>
      </c>
      <c r="C121" t="s">
        <v>23</v>
      </c>
      <c r="D121">
        <v>3</v>
      </c>
      <c r="E121">
        <v>6</v>
      </c>
    </row>
    <row r="122" spans="1:5" x14ac:dyDescent="0.2">
      <c r="A122" t="s">
        <v>147</v>
      </c>
      <c r="B122" t="s">
        <v>29</v>
      </c>
      <c r="C122" t="s">
        <v>23</v>
      </c>
      <c r="D122">
        <v>1</v>
      </c>
      <c r="E122">
        <v>0</v>
      </c>
    </row>
    <row r="123" spans="1:5" x14ac:dyDescent="0.2">
      <c r="A123" t="s">
        <v>147</v>
      </c>
      <c r="B123" t="s">
        <v>29</v>
      </c>
      <c r="C123" t="s">
        <v>23</v>
      </c>
      <c r="D123">
        <v>1</v>
      </c>
      <c r="E123">
        <v>15</v>
      </c>
    </row>
    <row r="124" spans="1:5" x14ac:dyDescent="0.2">
      <c r="A124" t="s">
        <v>430</v>
      </c>
      <c r="B124" t="s">
        <v>29</v>
      </c>
      <c r="C124" t="s">
        <v>23</v>
      </c>
      <c r="D124">
        <v>2</v>
      </c>
      <c r="E124">
        <v>0</v>
      </c>
    </row>
    <row r="125" spans="1:5" x14ac:dyDescent="0.2">
      <c r="A125" t="s">
        <v>431</v>
      </c>
      <c r="B125" t="s">
        <v>29</v>
      </c>
      <c r="C125" t="s">
        <v>23</v>
      </c>
      <c r="D125">
        <v>1</v>
      </c>
      <c r="E125">
        <v>67</v>
      </c>
    </row>
    <row r="126" spans="1:5" x14ac:dyDescent="0.2">
      <c r="A126" t="s">
        <v>202</v>
      </c>
      <c r="B126" t="s">
        <v>30</v>
      </c>
      <c r="C126" t="s">
        <v>23</v>
      </c>
      <c r="D126">
        <v>2</v>
      </c>
      <c r="E126">
        <v>0</v>
      </c>
    </row>
    <row r="127" spans="1:5" x14ac:dyDescent="0.2">
      <c r="A127" t="s">
        <v>432</v>
      </c>
      <c r="B127" t="s">
        <v>30</v>
      </c>
      <c r="C127" t="s">
        <v>23</v>
      </c>
      <c r="D127">
        <v>2</v>
      </c>
      <c r="E127">
        <v>0</v>
      </c>
    </row>
    <row r="128" spans="1:5" x14ac:dyDescent="0.2">
      <c r="A128" t="s">
        <v>203</v>
      </c>
      <c r="B128" t="s">
        <v>30</v>
      </c>
      <c r="C128" t="s">
        <v>23</v>
      </c>
      <c r="D128">
        <v>2</v>
      </c>
      <c r="E128">
        <v>0</v>
      </c>
    </row>
    <row r="129" spans="1:5" x14ac:dyDescent="0.2">
      <c r="A129" t="s">
        <v>353</v>
      </c>
      <c r="B129" t="s">
        <v>30</v>
      </c>
      <c r="C129" t="s">
        <v>23</v>
      </c>
      <c r="D129">
        <v>1</v>
      </c>
      <c r="E129">
        <v>1</v>
      </c>
    </row>
    <row r="130" spans="1:5" x14ac:dyDescent="0.2">
      <c r="A130" t="s">
        <v>433</v>
      </c>
      <c r="B130" t="s">
        <v>30</v>
      </c>
      <c r="C130" t="s">
        <v>23</v>
      </c>
      <c r="D130">
        <v>1</v>
      </c>
      <c r="E130">
        <v>3</v>
      </c>
    </row>
    <row r="131" spans="1:5" x14ac:dyDescent="0.2">
      <c r="A131" t="s">
        <v>434</v>
      </c>
      <c r="B131" t="s">
        <v>30</v>
      </c>
      <c r="C131" t="s">
        <v>23</v>
      </c>
      <c r="D131">
        <v>2</v>
      </c>
      <c r="E131">
        <v>1</v>
      </c>
    </row>
    <row r="132" spans="1:5" x14ac:dyDescent="0.2">
      <c r="A132" t="s">
        <v>435</v>
      </c>
      <c r="B132" t="s">
        <v>30</v>
      </c>
      <c r="C132" t="s">
        <v>23</v>
      </c>
      <c r="D132">
        <v>2</v>
      </c>
      <c r="E132">
        <v>0</v>
      </c>
    </row>
    <row r="133" spans="1:5" x14ac:dyDescent="0.2">
      <c r="A133" t="s">
        <v>311</v>
      </c>
      <c r="B133" t="s">
        <v>30</v>
      </c>
      <c r="C133" t="s">
        <v>23</v>
      </c>
      <c r="D133">
        <v>2</v>
      </c>
      <c r="E133">
        <v>1</v>
      </c>
    </row>
    <row r="134" spans="1:5" x14ac:dyDescent="0.2">
      <c r="A134" t="s">
        <v>312</v>
      </c>
      <c r="B134" t="s">
        <v>30</v>
      </c>
      <c r="C134" t="s">
        <v>23</v>
      </c>
      <c r="D134">
        <v>2</v>
      </c>
      <c r="E134">
        <v>1</v>
      </c>
    </row>
    <row r="135" spans="1:5" x14ac:dyDescent="0.2">
      <c r="A135" t="s">
        <v>436</v>
      </c>
      <c r="B135" t="s">
        <v>30</v>
      </c>
      <c r="C135" t="s">
        <v>23</v>
      </c>
      <c r="D135">
        <v>2</v>
      </c>
      <c r="E135">
        <v>0</v>
      </c>
    </row>
    <row r="136" spans="1:5" x14ac:dyDescent="0.2">
      <c r="A136" t="s">
        <v>437</v>
      </c>
      <c r="B136" t="s">
        <v>30</v>
      </c>
      <c r="C136" t="s">
        <v>23</v>
      </c>
      <c r="D136">
        <v>1</v>
      </c>
      <c r="E136">
        <v>2.5</v>
      </c>
    </row>
    <row r="137" spans="1:5" x14ac:dyDescent="0.2">
      <c r="A137" t="s">
        <v>313</v>
      </c>
      <c r="B137" t="s">
        <v>30</v>
      </c>
      <c r="C137" t="s">
        <v>23</v>
      </c>
      <c r="D137">
        <v>2</v>
      </c>
      <c r="E137">
        <v>1</v>
      </c>
    </row>
    <row r="138" spans="1:5" x14ac:dyDescent="0.2">
      <c r="A138" t="s">
        <v>314</v>
      </c>
      <c r="B138" t="s">
        <v>30</v>
      </c>
      <c r="C138" t="s">
        <v>23</v>
      </c>
      <c r="D138">
        <v>5</v>
      </c>
      <c r="E138">
        <v>4.4000000000000004</v>
      </c>
    </row>
    <row r="139" spans="1:5" x14ac:dyDescent="0.2">
      <c r="A139" t="s">
        <v>148</v>
      </c>
      <c r="B139" t="s">
        <v>30</v>
      </c>
      <c r="C139" t="s">
        <v>23</v>
      </c>
      <c r="D139">
        <v>2</v>
      </c>
      <c r="E139">
        <v>0</v>
      </c>
    </row>
    <row r="140" spans="1:5" x14ac:dyDescent="0.2">
      <c r="A140" t="s">
        <v>438</v>
      </c>
      <c r="B140" t="s">
        <v>30</v>
      </c>
      <c r="C140" t="s">
        <v>23</v>
      </c>
      <c r="D140">
        <v>2</v>
      </c>
      <c r="E140">
        <v>9.2249999999999996</v>
      </c>
    </row>
    <row r="141" spans="1:5" x14ac:dyDescent="0.2">
      <c r="A141" t="s">
        <v>439</v>
      </c>
      <c r="B141" t="s">
        <v>30</v>
      </c>
      <c r="C141" t="s">
        <v>23</v>
      </c>
      <c r="D141">
        <v>4</v>
      </c>
      <c r="E141">
        <v>2</v>
      </c>
    </row>
    <row r="142" spans="1:5" x14ac:dyDescent="0.2">
      <c r="A142" t="s">
        <v>342</v>
      </c>
      <c r="B142" t="s">
        <v>30</v>
      </c>
      <c r="C142" t="s">
        <v>23</v>
      </c>
      <c r="D142">
        <v>6</v>
      </c>
      <c r="E142">
        <v>15</v>
      </c>
    </row>
    <row r="143" spans="1:5" x14ac:dyDescent="0.2">
      <c r="A143" t="s">
        <v>343</v>
      </c>
      <c r="B143" t="s">
        <v>31</v>
      </c>
      <c r="C143" t="s">
        <v>23</v>
      </c>
      <c r="D143">
        <v>1</v>
      </c>
      <c r="E143">
        <v>3</v>
      </c>
    </row>
    <row r="144" spans="1:5" x14ac:dyDescent="0.2">
      <c r="A144" t="s">
        <v>149</v>
      </c>
      <c r="B144" t="s">
        <v>31</v>
      </c>
      <c r="C144" t="s">
        <v>23</v>
      </c>
      <c r="D144">
        <v>10</v>
      </c>
      <c r="E144">
        <v>2.5</v>
      </c>
    </row>
    <row r="145" spans="1:5" x14ac:dyDescent="0.2">
      <c r="A145" t="s">
        <v>150</v>
      </c>
      <c r="B145" t="s">
        <v>31</v>
      </c>
      <c r="C145" t="s">
        <v>23</v>
      </c>
      <c r="D145">
        <v>1</v>
      </c>
      <c r="E145">
        <v>11</v>
      </c>
    </row>
    <row r="146" spans="1:5" x14ac:dyDescent="0.2">
      <c r="A146" t="s">
        <v>151</v>
      </c>
      <c r="B146" t="s">
        <v>31</v>
      </c>
      <c r="C146" t="s">
        <v>23</v>
      </c>
      <c r="D146">
        <v>2</v>
      </c>
      <c r="E146">
        <v>0</v>
      </c>
    </row>
    <row r="147" spans="1:5" x14ac:dyDescent="0.2">
      <c r="A147" t="s">
        <v>440</v>
      </c>
      <c r="B147" t="s">
        <v>31</v>
      </c>
      <c r="C147" t="s">
        <v>23</v>
      </c>
      <c r="D147">
        <v>4</v>
      </c>
      <c r="E147">
        <v>5</v>
      </c>
    </row>
    <row r="148" spans="1:5" x14ac:dyDescent="0.2">
      <c r="A148" t="s">
        <v>152</v>
      </c>
      <c r="B148" t="s">
        <v>31</v>
      </c>
      <c r="C148" t="s">
        <v>23</v>
      </c>
      <c r="D148">
        <v>5</v>
      </c>
      <c r="E148">
        <v>1.5</v>
      </c>
    </row>
    <row r="149" spans="1:5" x14ac:dyDescent="0.2">
      <c r="A149" t="s">
        <v>205</v>
      </c>
      <c r="B149" t="s">
        <v>49</v>
      </c>
      <c r="C149" t="s">
        <v>23</v>
      </c>
      <c r="D149">
        <v>2</v>
      </c>
      <c r="E149">
        <v>0</v>
      </c>
    </row>
    <row r="150" spans="1:5" x14ac:dyDescent="0.2">
      <c r="A150" t="s">
        <v>206</v>
      </c>
      <c r="B150" t="s">
        <v>441</v>
      </c>
      <c r="C150" t="s">
        <v>23</v>
      </c>
      <c r="D150">
        <v>2</v>
      </c>
      <c r="E150">
        <v>0</v>
      </c>
    </row>
    <row r="151" spans="1:5" x14ac:dyDescent="0.2">
      <c r="A151" t="s">
        <v>154</v>
      </c>
      <c r="B151" t="s">
        <v>32</v>
      </c>
      <c r="C151" t="s">
        <v>23</v>
      </c>
      <c r="D151">
        <v>3</v>
      </c>
      <c r="E151">
        <v>0.5</v>
      </c>
    </row>
    <row r="152" spans="1:5" x14ac:dyDescent="0.2">
      <c r="A152" t="s">
        <v>442</v>
      </c>
      <c r="B152" t="s">
        <v>32</v>
      </c>
      <c r="C152" t="s">
        <v>23</v>
      </c>
      <c r="D152">
        <v>1</v>
      </c>
      <c r="E152">
        <v>2.5</v>
      </c>
    </row>
    <row r="153" spans="1:5" x14ac:dyDescent="0.2">
      <c r="A153" t="s">
        <v>443</v>
      </c>
      <c r="B153" t="s">
        <v>32</v>
      </c>
      <c r="C153" t="s">
        <v>23</v>
      </c>
      <c r="D153">
        <v>2</v>
      </c>
      <c r="E153">
        <v>0</v>
      </c>
    </row>
    <row r="154" spans="1:5" x14ac:dyDescent="0.2">
      <c r="A154" t="s">
        <v>155</v>
      </c>
      <c r="B154" t="s">
        <v>32</v>
      </c>
      <c r="C154" t="s">
        <v>23</v>
      </c>
      <c r="D154">
        <v>4</v>
      </c>
      <c r="E154">
        <v>0.5</v>
      </c>
    </row>
    <row r="155" spans="1:5" x14ac:dyDescent="0.2">
      <c r="A155" t="s">
        <v>211</v>
      </c>
      <c r="B155" t="s">
        <v>133</v>
      </c>
      <c r="C155" t="s">
        <v>23</v>
      </c>
      <c r="D155">
        <v>2</v>
      </c>
      <c r="E155">
        <v>0</v>
      </c>
    </row>
    <row r="156" spans="1:5" x14ac:dyDescent="0.2">
      <c r="A156" t="s">
        <v>212</v>
      </c>
      <c r="B156" t="s">
        <v>133</v>
      </c>
      <c r="C156" t="s">
        <v>23</v>
      </c>
      <c r="D156">
        <v>1</v>
      </c>
      <c r="E156">
        <v>2.5</v>
      </c>
    </row>
    <row r="157" spans="1:5" x14ac:dyDescent="0.2">
      <c r="A157" t="s">
        <v>212</v>
      </c>
      <c r="B157" t="s">
        <v>133</v>
      </c>
      <c r="C157" t="s">
        <v>23</v>
      </c>
      <c r="D157">
        <v>1</v>
      </c>
      <c r="E157">
        <v>2.5</v>
      </c>
    </row>
    <row r="158" spans="1:5" x14ac:dyDescent="0.2">
      <c r="A158" t="s">
        <v>212</v>
      </c>
      <c r="B158" t="s">
        <v>133</v>
      </c>
      <c r="C158" t="s">
        <v>23</v>
      </c>
      <c r="D158">
        <v>2</v>
      </c>
      <c r="E158">
        <v>0</v>
      </c>
    </row>
    <row r="159" spans="1:5" x14ac:dyDescent="0.2">
      <c r="A159" t="s">
        <v>212</v>
      </c>
      <c r="B159" t="s">
        <v>133</v>
      </c>
      <c r="C159" t="s">
        <v>23</v>
      </c>
      <c r="D159">
        <v>1</v>
      </c>
      <c r="E159">
        <v>0</v>
      </c>
    </row>
    <row r="160" spans="1:5" x14ac:dyDescent="0.2">
      <c r="A160" t="s">
        <v>212</v>
      </c>
      <c r="B160" t="s">
        <v>133</v>
      </c>
      <c r="C160" t="s">
        <v>23</v>
      </c>
      <c r="D160">
        <v>2</v>
      </c>
      <c r="E160">
        <v>0</v>
      </c>
    </row>
    <row r="161" spans="1:5" x14ac:dyDescent="0.2">
      <c r="A161" t="s">
        <v>212</v>
      </c>
      <c r="B161" t="s">
        <v>133</v>
      </c>
      <c r="C161" t="s">
        <v>23</v>
      </c>
      <c r="D161">
        <v>2</v>
      </c>
      <c r="E161">
        <v>0</v>
      </c>
    </row>
    <row r="162" spans="1:5" x14ac:dyDescent="0.2">
      <c r="A162" t="s">
        <v>444</v>
      </c>
      <c r="B162" t="s">
        <v>133</v>
      </c>
      <c r="C162" t="s">
        <v>23</v>
      </c>
      <c r="D162">
        <v>1</v>
      </c>
      <c r="E162">
        <v>0</v>
      </c>
    </row>
    <row r="163" spans="1:5" x14ac:dyDescent="0.2">
      <c r="A163" t="s">
        <v>444</v>
      </c>
      <c r="B163" t="s">
        <v>133</v>
      </c>
      <c r="C163" t="s">
        <v>23</v>
      </c>
      <c r="D163">
        <v>1</v>
      </c>
      <c r="E163">
        <v>7.7</v>
      </c>
    </row>
    <row r="164" spans="1:5" x14ac:dyDescent="0.2">
      <c r="A164" t="s">
        <v>444</v>
      </c>
      <c r="B164" t="s">
        <v>133</v>
      </c>
      <c r="C164" t="s">
        <v>23</v>
      </c>
      <c r="D164">
        <v>1</v>
      </c>
      <c r="E164">
        <v>7.7</v>
      </c>
    </row>
    <row r="165" spans="1:5" x14ac:dyDescent="0.2">
      <c r="A165" t="s">
        <v>214</v>
      </c>
      <c r="B165" t="s">
        <v>133</v>
      </c>
      <c r="C165" t="s">
        <v>23</v>
      </c>
      <c r="D165">
        <v>1</v>
      </c>
      <c r="E165">
        <v>0</v>
      </c>
    </row>
    <row r="166" spans="1:5" x14ac:dyDescent="0.2">
      <c r="A166" t="s">
        <v>91</v>
      </c>
      <c r="B166" t="s">
        <v>93</v>
      </c>
      <c r="C166" t="s">
        <v>23</v>
      </c>
      <c r="D166">
        <v>1</v>
      </c>
      <c r="E166">
        <v>0</v>
      </c>
    </row>
    <row r="167" spans="1:5" x14ac:dyDescent="0.2">
      <c r="A167" t="s">
        <v>215</v>
      </c>
      <c r="B167" t="s">
        <v>216</v>
      </c>
      <c r="C167" t="s">
        <v>23</v>
      </c>
      <c r="D167">
        <v>2</v>
      </c>
      <c r="E167">
        <v>0</v>
      </c>
    </row>
    <row r="168" spans="1:5" x14ac:dyDescent="0.2">
      <c r="A168" t="s">
        <v>217</v>
      </c>
      <c r="B168" t="s">
        <v>134</v>
      </c>
      <c r="C168" t="s">
        <v>23</v>
      </c>
      <c r="D168">
        <v>1</v>
      </c>
      <c r="E168">
        <v>0</v>
      </c>
    </row>
    <row r="169" spans="1:5" x14ac:dyDescent="0.2">
      <c r="A169" t="s">
        <v>218</v>
      </c>
      <c r="B169" t="s">
        <v>134</v>
      </c>
      <c r="C169" t="s">
        <v>23</v>
      </c>
      <c r="D169">
        <v>2</v>
      </c>
      <c r="E169">
        <v>0</v>
      </c>
    </row>
    <row r="170" spans="1:5" x14ac:dyDescent="0.2">
      <c r="A170" t="s">
        <v>218</v>
      </c>
      <c r="B170" t="s">
        <v>134</v>
      </c>
      <c r="C170" t="s">
        <v>23</v>
      </c>
      <c r="D170">
        <v>3</v>
      </c>
      <c r="E170">
        <v>1.5</v>
      </c>
    </row>
    <row r="171" spans="1:5" x14ac:dyDescent="0.2">
      <c r="A171" t="s">
        <v>218</v>
      </c>
      <c r="B171" t="s">
        <v>134</v>
      </c>
      <c r="C171" t="s">
        <v>23</v>
      </c>
      <c r="D171">
        <v>1</v>
      </c>
      <c r="E171">
        <v>4</v>
      </c>
    </row>
    <row r="172" spans="1:5" x14ac:dyDescent="0.2">
      <c r="A172" t="s">
        <v>218</v>
      </c>
      <c r="B172" t="s">
        <v>134</v>
      </c>
      <c r="C172" t="s">
        <v>23</v>
      </c>
      <c r="D172">
        <v>1</v>
      </c>
      <c r="E172">
        <v>1</v>
      </c>
    </row>
    <row r="173" spans="1:5" x14ac:dyDescent="0.2">
      <c r="A173" t="s">
        <v>156</v>
      </c>
      <c r="B173" t="s">
        <v>134</v>
      </c>
      <c r="C173" t="s">
        <v>23</v>
      </c>
      <c r="D173">
        <v>2</v>
      </c>
      <c r="E173">
        <v>0</v>
      </c>
    </row>
    <row r="174" spans="1:5" x14ac:dyDescent="0.2">
      <c r="A174" t="s">
        <v>219</v>
      </c>
      <c r="B174" t="s">
        <v>134</v>
      </c>
      <c r="C174" t="s">
        <v>23</v>
      </c>
      <c r="D174">
        <v>1</v>
      </c>
      <c r="E174">
        <v>0</v>
      </c>
    </row>
    <row r="175" spans="1:5" x14ac:dyDescent="0.2">
      <c r="A175" t="s">
        <v>157</v>
      </c>
      <c r="B175" t="s">
        <v>31</v>
      </c>
      <c r="C175" t="s">
        <v>23</v>
      </c>
      <c r="D175">
        <v>2</v>
      </c>
      <c r="E175">
        <v>0</v>
      </c>
    </row>
    <row r="176" spans="1:5" x14ac:dyDescent="0.2">
      <c r="A176" t="s">
        <v>157</v>
      </c>
      <c r="B176" t="s">
        <v>32</v>
      </c>
      <c r="C176" t="s">
        <v>23</v>
      </c>
      <c r="D176">
        <v>2</v>
      </c>
      <c r="E176">
        <v>0</v>
      </c>
    </row>
    <row r="177" spans="1:5" x14ac:dyDescent="0.2">
      <c r="A177" t="s">
        <v>446</v>
      </c>
      <c r="B177" t="s">
        <v>224</v>
      </c>
      <c r="C177" t="s">
        <v>23</v>
      </c>
      <c r="D177">
        <v>1</v>
      </c>
      <c r="E177">
        <v>2.5</v>
      </c>
    </row>
    <row r="178" spans="1:5" x14ac:dyDescent="0.2">
      <c r="A178" t="s">
        <v>223</v>
      </c>
      <c r="B178" t="s">
        <v>224</v>
      </c>
      <c r="C178" t="s">
        <v>23</v>
      </c>
      <c r="D178">
        <v>3</v>
      </c>
      <c r="E178">
        <v>1.25</v>
      </c>
    </row>
    <row r="179" spans="1:5" x14ac:dyDescent="0.2">
      <c r="A179" t="s">
        <v>227</v>
      </c>
      <c r="B179" t="s">
        <v>56</v>
      </c>
      <c r="C179" t="s">
        <v>23</v>
      </c>
      <c r="D179">
        <v>1</v>
      </c>
      <c r="E179">
        <v>15</v>
      </c>
    </row>
    <row r="180" spans="1:5" x14ac:dyDescent="0.2">
      <c r="A180" t="s">
        <v>317</v>
      </c>
      <c r="B180" t="s">
        <v>56</v>
      </c>
      <c r="C180" t="s">
        <v>23</v>
      </c>
      <c r="D180">
        <v>3</v>
      </c>
      <c r="E180">
        <v>1</v>
      </c>
    </row>
    <row r="181" spans="1:5" x14ac:dyDescent="0.2">
      <c r="A181" t="s">
        <v>229</v>
      </c>
      <c r="B181" t="s">
        <v>56</v>
      </c>
      <c r="C181" t="s">
        <v>23</v>
      </c>
      <c r="D181">
        <v>1</v>
      </c>
      <c r="E181">
        <v>0</v>
      </c>
    </row>
    <row r="182" spans="1:5" x14ac:dyDescent="0.2">
      <c r="A182" t="s">
        <v>447</v>
      </c>
      <c r="B182" t="s">
        <v>56</v>
      </c>
      <c r="C182" t="s">
        <v>23</v>
      </c>
      <c r="D182">
        <v>2</v>
      </c>
      <c r="E182">
        <v>2.5</v>
      </c>
    </row>
    <row r="183" spans="1:5" x14ac:dyDescent="0.2">
      <c r="A183" t="s">
        <v>230</v>
      </c>
      <c r="B183" t="s">
        <v>56</v>
      </c>
      <c r="C183" t="s">
        <v>23</v>
      </c>
      <c r="D183">
        <v>1</v>
      </c>
      <c r="E183">
        <v>0</v>
      </c>
    </row>
    <row r="184" spans="1:5" x14ac:dyDescent="0.2">
      <c r="A184" t="s">
        <v>231</v>
      </c>
      <c r="B184" t="s">
        <v>56</v>
      </c>
      <c r="C184" t="s">
        <v>23</v>
      </c>
      <c r="D184">
        <v>1</v>
      </c>
      <c r="E184">
        <v>4</v>
      </c>
    </row>
    <row r="185" spans="1:5" x14ac:dyDescent="0.2">
      <c r="A185" t="s">
        <v>232</v>
      </c>
      <c r="B185" t="s">
        <v>56</v>
      </c>
      <c r="C185" t="s">
        <v>23</v>
      </c>
      <c r="D185">
        <v>1</v>
      </c>
      <c r="E185">
        <v>0</v>
      </c>
    </row>
    <row r="186" spans="1:5" x14ac:dyDescent="0.2">
      <c r="A186" t="s">
        <v>448</v>
      </c>
      <c r="B186" t="s">
        <v>56</v>
      </c>
      <c r="C186" t="s">
        <v>23</v>
      </c>
      <c r="D186">
        <v>1</v>
      </c>
      <c r="E186">
        <v>0</v>
      </c>
    </row>
    <row r="187" spans="1:5" x14ac:dyDescent="0.2">
      <c r="A187" t="s">
        <v>234</v>
      </c>
      <c r="B187" t="s">
        <v>56</v>
      </c>
      <c r="C187" t="s">
        <v>23</v>
      </c>
      <c r="D187">
        <v>1</v>
      </c>
      <c r="E187">
        <v>0</v>
      </c>
    </row>
    <row r="188" spans="1:5" x14ac:dyDescent="0.2">
      <c r="A188" t="s">
        <v>235</v>
      </c>
      <c r="B188" t="s">
        <v>56</v>
      </c>
      <c r="C188" t="s">
        <v>23</v>
      </c>
      <c r="D188">
        <v>1</v>
      </c>
      <c r="E188">
        <v>2.5</v>
      </c>
    </row>
    <row r="189" spans="1:5" x14ac:dyDescent="0.2">
      <c r="A189" t="s">
        <v>449</v>
      </c>
      <c r="B189" t="s">
        <v>56</v>
      </c>
      <c r="C189" t="s">
        <v>23</v>
      </c>
      <c r="D189">
        <v>1</v>
      </c>
      <c r="E189">
        <v>1</v>
      </c>
    </row>
    <row r="190" spans="1:5" x14ac:dyDescent="0.2">
      <c r="A190" t="s">
        <v>356</v>
      </c>
      <c r="B190" t="s">
        <v>56</v>
      </c>
      <c r="C190" t="s">
        <v>23</v>
      </c>
      <c r="D190">
        <v>1</v>
      </c>
      <c r="E190">
        <v>0</v>
      </c>
    </row>
    <row r="191" spans="1:5" x14ac:dyDescent="0.2">
      <c r="A191" t="s">
        <v>236</v>
      </c>
      <c r="B191" t="s">
        <v>56</v>
      </c>
      <c r="C191" t="s">
        <v>23</v>
      </c>
      <c r="D191">
        <v>1</v>
      </c>
      <c r="E191">
        <v>0</v>
      </c>
    </row>
    <row r="192" spans="1:5" x14ac:dyDescent="0.2">
      <c r="A192" t="s">
        <v>450</v>
      </c>
      <c r="B192" t="s">
        <v>56</v>
      </c>
      <c r="C192" t="s">
        <v>23</v>
      </c>
      <c r="D192">
        <v>2</v>
      </c>
      <c r="E192">
        <v>2.5</v>
      </c>
    </row>
    <row r="193" spans="1:5" x14ac:dyDescent="0.2">
      <c r="A193" t="s">
        <v>237</v>
      </c>
      <c r="B193" t="s">
        <v>65</v>
      </c>
      <c r="C193" t="s">
        <v>23</v>
      </c>
      <c r="D193">
        <v>2</v>
      </c>
      <c r="E193">
        <v>0</v>
      </c>
    </row>
    <row r="194" spans="1:5" x14ac:dyDescent="0.2">
      <c r="A194" t="s">
        <v>237</v>
      </c>
      <c r="B194" t="s">
        <v>37</v>
      </c>
      <c r="C194" t="s">
        <v>23</v>
      </c>
      <c r="D194">
        <v>2</v>
      </c>
      <c r="E194">
        <v>0</v>
      </c>
    </row>
    <row r="195" spans="1:5" x14ac:dyDescent="0.2">
      <c r="A195" t="s">
        <v>238</v>
      </c>
      <c r="B195" t="s">
        <v>45</v>
      </c>
      <c r="C195" t="s">
        <v>23</v>
      </c>
      <c r="D195">
        <v>2</v>
      </c>
      <c r="E195">
        <v>0</v>
      </c>
    </row>
    <row r="196" spans="1:5" x14ac:dyDescent="0.2">
      <c r="A196" t="s">
        <v>451</v>
      </c>
      <c r="B196" t="s">
        <v>45</v>
      </c>
      <c r="C196" t="s">
        <v>23</v>
      </c>
      <c r="D196">
        <v>1</v>
      </c>
      <c r="E196">
        <v>0</v>
      </c>
    </row>
    <row r="197" spans="1:5" x14ac:dyDescent="0.2">
      <c r="A197" t="s">
        <v>239</v>
      </c>
      <c r="B197" t="s">
        <v>45</v>
      </c>
      <c r="C197" t="s">
        <v>23</v>
      </c>
      <c r="D197">
        <v>3</v>
      </c>
      <c r="E197">
        <v>2.5</v>
      </c>
    </row>
    <row r="198" spans="1:5" x14ac:dyDescent="0.2">
      <c r="A198" t="s">
        <v>452</v>
      </c>
      <c r="B198" t="s">
        <v>45</v>
      </c>
      <c r="C198" t="s">
        <v>23</v>
      </c>
      <c r="D198">
        <v>2</v>
      </c>
      <c r="E198">
        <v>0</v>
      </c>
    </row>
    <row r="199" spans="1:5" x14ac:dyDescent="0.2">
      <c r="A199" t="s">
        <v>453</v>
      </c>
      <c r="B199" t="s">
        <v>36</v>
      </c>
      <c r="C199" t="s">
        <v>23</v>
      </c>
      <c r="D199">
        <v>1</v>
      </c>
      <c r="E199">
        <v>2.5</v>
      </c>
    </row>
    <row r="200" spans="1:5" x14ac:dyDescent="0.2">
      <c r="A200" t="s">
        <v>325</v>
      </c>
      <c r="B200" t="s">
        <v>107</v>
      </c>
      <c r="C200" t="s">
        <v>23</v>
      </c>
      <c r="D200">
        <v>1</v>
      </c>
      <c r="E200">
        <v>1</v>
      </c>
    </row>
    <row r="201" spans="1:5" x14ac:dyDescent="0.2">
      <c r="A201" t="s">
        <v>326</v>
      </c>
      <c r="B201" t="s">
        <v>107</v>
      </c>
      <c r="C201" t="s">
        <v>23</v>
      </c>
      <c r="D201">
        <v>3</v>
      </c>
      <c r="E201">
        <v>15</v>
      </c>
    </row>
    <row r="202" spans="1:5" x14ac:dyDescent="0.2">
      <c r="A202" t="s">
        <v>454</v>
      </c>
      <c r="B202" t="s">
        <v>107</v>
      </c>
      <c r="C202" t="s">
        <v>23</v>
      </c>
      <c r="D202">
        <v>2</v>
      </c>
      <c r="E202">
        <v>1</v>
      </c>
    </row>
    <row r="203" spans="1:5" x14ac:dyDescent="0.2">
      <c r="A203" t="s">
        <v>455</v>
      </c>
      <c r="B203" t="s">
        <v>107</v>
      </c>
      <c r="C203" t="s">
        <v>23</v>
      </c>
      <c r="D203">
        <v>2</v>
      </c>
      <c r="E203">
        <v>6</v>
      </c>
    </row>
    <row r="204" spans="1:5" x14ac:dyDescent="0.2">
      <c r="A204" t="s">
        <v>328</v>
      </c>
      <c r="B204" t="s">
        <v>107</v>
      </c>
      <c r="C204" t="s">
        <v>23</v>
      </c>
      <c r="D204">
        <v>3</v>
      </c>
      <c r="E204">
        <v>41.5</v>
      </c>
    </row>
    <row r="205" spans="1:5" x14ac:dyDescent="0.2">
      <c r="A205" t="s">
        <v>456</v>
      </c>
      <c r="B205" t="s">
        <v>107</v>
      </c>
      <c r="C205" t="s">
        <v>23</v>
      </c>
      <c r="D205">
        <v>3</v>
      </c>
      <c r="E205">
        <v>1.25</v>
      </c>
    </row>
    <row r="206" spans="1:5" x14ac:dyDescent="0.2">
      <c r="A206" t="s">
        <v>457</v>
      </c>
      <c r="B206" t="s">
        <v>107</v>
      </c>
      <c r="C206" t="s">
        <v>23</v>
      </c>
      <c r="D206">
        <v>2</v>
      </c>
      <c r="E206">
        <v>2</v>
      </c>
    </row>
    <row r="207" spans="1:5" x14ac:dyDescent="0.2">
      <c r="A207" t="s">
        <v>458</v>
      </c>
      <c r="B207" t="s">
        <v>107</v>
      </c>
      <c r="C207" t="s">
        <v>23</v>
      </c>
      <c r="D207">
        <v>2</v>
      </c>
      <c r="E207">
        <v>3</v>
      </c>
    </row>
    <row r="208" spans="1:5" x14ac:dyDescent="0.2">
      <c r="A208" t="s">
        <v>459</v>
      </c>
      <c r="B208" t="s">
        <v>107</v>
      </c>
      <c r="C208" t="s">
        <v>23</v>
      </c>
      <c r="D208">
        <v>2</v>
      </c>
      <c r="E208">
        <v>1</v>
      </c>
    </row>
    <row r="209" spans="1:5" x14ac:dyDescent="0.2">
      <c r="A209" t="s">
        <v>460</v>
      </c>
      <c r="B209" t="s">
        <v>107</v>
      </c>
      <c r="C209" t="s">
        <v>23</v>
      </c>
      <c r="D209">
        <v>2</v>
      </c>
      <c r="E209">
        <v>2</v>
      </c>
    </row>
    <row r="210" spans="1:5" x14ac:dyDescent="0.2">
      <c r="A210" t="s">
        <v>461</v>
      </c>
      <c r="B210" t="s">
        <v>107</v>
      </c>
      <c r="C210" t="s">
        <v>23</v>
      </c>
      <c r="D210">
        <v>1</v>
      </c>
      <c r="E210">
        <v>2.5</v>
      </c>
    </row>
    <row r="211" spans="1:5" x14ac:dyDescent="0.2">
      <c r="A211" t="s">
        <v>462</v>
      </c>
      <c r="B211" t="s">
        <v>107</v>
      </c>
      <c r="C211" t="s">
        <v>23</v>
      </c>
      <c r="D211">
        <v>2</v>
      </c>
      <c r="E211">
        <v>0</v>
      </c>
    </row>
    <row r="212" spans="1:5" x14ac:dyDescent="0.2">
      <c r="A212" t="s">
        <v>463</v>
      </c>
      <c r="B212" t="s">
        <v>107</v>
      </c>
      <c r="C212" t="s">
        <v>23</v>
      </c>
      <c r="D212">
        <v>4</v>
      </c>
      <c r="E212">
        <v>3.5</v>
      </c>
    </row>
    <row r="213" spans="1:5" x14ac:dyDescent="0.2">
      <c r="A213" t="s">
        <v>349</v>
      </c>
      <c r="B213" t="s">
        <v>107</v>
      </c>
      <c r="C213" t="s">
        <v>23</v>
      </c>
      <c r="D213">
        <v>9</v>
      </c>
      <c r="E213">
        <v>30</v>
      </c>
    </row>
    <row r="214" spans="1:5" x14ac:dyDescent="0.2">
      <c r="A214" t="s">
        <v>246</v>
      </c>
      <c r="B214" t="s">
        <v>111</v>
      </c>
      <c r="C214" t="s">
        <v>23</v>
      </c>
      <c r="D214">
        <v>1</v>
      </c>
      <c r="E214">
        <v>0</v>
      </c>
    </row>
    <row r="215" spans="1:5" x14ac:dyDescent="0.2">
      <c r="A215" t="s">
        <v>464</v>
      </c>
      <c r="B215" t="s">
        <v>111</v>
      </c>
      <c r="C215" t="s">
        <v>23</v>
      </c>
      <c r="D215">
        <v>1</v>
      </c>
      <c r="E215">
        <v>2.5</v>
      </c>
    </row>
    <row r="216" spans="1:5" x14ac:dyDescent="0.2">
      <c r="A216" t="s">
        <v>465</v>
      </c>
      <c r="B216" t="s">
        <v>378</v>
      </c>
      <c r="C216" t="s">
        <v>23</v>
      </c>
      <c r="D216">
        <v>1</v>
      </c>
      <c r="E216">
        <v>2.5</v>
      </c>
    </row>
    <row r="217" spans="1:5" x14ac:dyDescent="0.2">
      <c r="A217" t="s">
        <v>466</v>
      </c>
      <c r="B217" t="s">
        <v>37</v>
      </c>
      <c r="C217" t="s">
        <v>23</v>
      </c>
      <c r="D217">
        <v>1</v>
      </c>
      <c r="E217">
        <v>2.5</v>
      </c>
    </row>
    <row r="218" spans="1:5" x14ac:dyDescent="0.2">
      <c r="A218" t="s">
        <v>467</v>
      </c>
      <c r="B218" t="s">
        <v>37</v>
      </c>
      <c r="C218" t="s">
        <v>23</v>
      </c>
      <c r="D218">
        <v>1</v>
      </c>
      <c r="E218">
        <v>2.5</v>
      </c>
    </row>
    <row r="219" spans="1:5" x14ac:dyDescent="0.2">
      <c r="A219" t="s">
        <v>253</v>
      </c>
      <c r="B219" t="s">
        <v>37</v>
      </c>
      <c r="C219" t="s">
        <v>23</v>
      </c>
      <c r="D219">
        <v>2</v>
      </c>
      <c r="E219">
        <v>0</v>
      </c>
    </row>
    <row r="220" spans="1:5" x14ac:dyDescent="0.2">
      <c r="A220" t="s">
        <v>254</v>
      </c>
      <c r="B220" t="s">
        <v>37</v>
      </c>
      <c r="C220" t="s">
        <v>23</v>
      </c>
      <c r="D220">
        <v>2</v>
      </c>
      <c r="E220">
        <v>0</v>
      </c>
    </row>
    <row r="221" spans="1:5" x14ac:dyDescent="0.2">
      <c r="A221" t="s">
        <v>468</v>
      </c>
      <c r="B221" t="s">
        <v>37</v>
      </c>
      <c r="C221" t="s">
        <v>23</v>
      </c>
      <c r="D221">
        <v>1</v>
      </c>
      <c r="E221">
        <v>2.5</v>
      </c>
    </row>
    <row r="222" spans="1:5" x14ac:dyDescent="0.2">
      <c r="A222" t="s">
        <v>469</v>
      </c>
      <c r="B222" t="s">
        <v>37</v>
      </c>
      <c r="C222" t="s">
        <v>23</v>
      </c>
      <c r="D222">
        <v>1</v>
      </c>
      <c r="E222">
        <v>2.5</v>
      </c>
    </row>
    <row r="223" spans="1:5" x14ac:dyDescent="0.2">
      <c r="A223" t="s">
        <v>470</v>
      </c>
      <c r="B223" t="s">
        <v>37</v>
      </c>
      <c r="C223" t="s">
        <v>23</v>
      </c>
      <c r="D223">
        <v>1</v>
      </c>
      <c r="E223">
        <v>2.5</v>
      </c>
    </row>
    <row r="224" spans="1:5" x14ac:dyDescent="0.2">
      <c r="A224" t="s">
        <v>256</v>
      </c>
      <c r="B224" t="s">
        <v>37</v>
      </c>
      <c r="C224" t="s">
        <v>23</v>
      </c>
      <c r="D224">
        <v>2</v>
      </c>
      <c r="E224">
        <v>0</v>
      </c>
    </row>
    <row r="225" spans="1:5" x14ac:dyDescent="0.2">
      <c r="A225" t="s">
        <v>257</v>
      </c>
      <c r="B225" t="s">
        <v>37</v>
      </c>
      <c r="C225" t="s">
        <v>23</v>
      </c>
      <c r="D225">
        <v>2</v>
      </c>
      <c r="E225">
        <v>0</v>
      </c>
    </row>
    <row r="226" spans="1:5" x14ac:dyDescent="0.2">
      <c r="A226" t="s">
        <v>471</v>
      </c>
      <c r="B226" t="s">
        <v>37</v>
      </c>
      <c r="C226" t="s">
        <v>23</v>
      </c>
      <c r="D226">
        <v>5</v>
      </c>
      <c r="E226">
        <v>2.5</v>
      </c>
    </row>
    <row r="227" spans="1:5" x14ac:dyDescent="0.2">
      <c r="A227" t="s">
        <v>258</v>
      </c>
      <c r="B227" t="s">
        <v>37</v>
      </c>
      <c r="C227" t="s">
        <v>23</v>
      </c>
      <c r="D227">
        <v>2</v>
      </c>
      <c r="E227">
        <v>0</v>
      </c>
    </row>
    <row r="228" spans="1:5" x14ac:dyDescent="0.2">
      <c r="A228" t="s">
        <v>258</v>
      </c>
      <c r="B228" t="s">
        <v>37</v>
      </c>
      <c r="C228" t="s">
        <v>23</v>
      </c>
      <c r="D228">
        <v>2</v>
      </c>
      <c r="E228">
        <v>0</v>
      </c>
    </row>
    <row r="229" spans="1:5" x14ac:dyDescent="0.2">
      <c r="A229" t="s">
        <v>472</v>
      </c>
      <c r="B229" t="s">
        <v>37</v>
      </c>
      <c r="C229" t="s">
        <v>23</v>
      </c>
      <c r="D229">
        <v>2</v>
      </c>
      <c r="E229">
        <v>2.5</v>
      </c>
    </row>
    <row r="230" spans="1:5" x14ac:dyDescent="0.2">
      <c r="A230" t="s">
        <v>364</v>
      </c>
      <c r="B230" t="s">
        <v>37</v>
      </c>
      <c r="C230" t="s">
        <v>23</v>
      </c>
      <c r="D230">
        <v>2</v>
      </c>
      <c r="E230">
        <v>5.5</v>
      </c>
    </row>
    <row r="231" spans="1:5" x14ac:dyDescent="0.2">
      <c r="A231" t="s">
        <v>473</v>
      </c>
      <c r="B231" t="s">
        <v>50</v>
      </c>
      <c r="C231" t="s">
        <v>23</v>
      </c>
      <c r="D231">
        <v>1</v>
      </c>
      <c r="E231">
        <v>0</v>
      </c>
    </row>
    <row r="232" spans="1:5" x14ac:dyDescent="0.2">
      <c r="A232" t="s">
        <v>474</v>
      </c>
      <c r="B232" t="s">
        <v>66</v>
      </c>
      <c r="C232" t="s">
        <v>23</v>
      </c>
      <c r="D232">
        <v>1</v>
      </c>
      <c r="E232">
        <v>2.5</v>
      </c>
    </row>
    <row r="233" spans="1:5" x14ac:dyDescent="0.2">
      <c r="A233" t="s">
        <v>159</v>
      </c>
      <c r="B233" t="s">
        <v>66</v>
      </c>
      <c r="C233" t="s">
        <v>23</v>
      </c>
      <c r="D233">
        <v>2</v>
      </c>
      <c r="E233">
        <v>7.5</v>
      </c>
    </row>
    <row r="234" spans="1:5" x14ac:dyDescent="0.2">
      <c r="A234" t="s">
        <v>259</v>
      </c>
      <c r="B234" t="s">
        <v>66</v>
      </c>
      <c r="C234" t="s">
        <v>23</v>
      </c>
      <c r="D234">
        <v>2</v>
      </c>
      <c r="E234">
        <v>0</v>
      </c>
    </row>
    <row r="235" spans="1:5" x14ac:dyDescent="0.2">
      <c r="A235" t="s">
        <v>260</v>
      </c>
      <c r="B235" t="s">
        <v>66</v>
      </c>
      <c r="C235" t="s">
        <v>23</v>
      </c>
      <c r="D235">
        <v>2</v>
      </c>
      <c r="E235">
        <v>0</v>
      </c>
    </row>
    <row r="236" spans="1:5" x14ac:dyDescent="0.2">
      <c r="A236" t="s">
        <v>261</v>
      </c>
      <c r="B236" t="s">
        <v>66</v>
      </c>
      <c r="C236" t="s">
        <v>23</v>
      </c>
      <c r="D236">
        <v>2</v>
      </c>
      <c r="E236">
        <v>7.5</v>
      </c>
    </row>
    <row r="237" spans="1:5" x14ac:dyDescent="0.2">
      <c r="A237" t="s">
        <v>160</v>
      </c>
      <c r="B237" t="s">
        <v>66</v>
      </c>
      <c r="C237" t="s">
        <v>23</v>
      </c>
      <c r="D237">
        <v>2</v>
      </c>
      <c r="E237">
        <v>7.5</v>
      </c>
    </row>
    <row r="238" spans="1:5" x14ac:dyDescent="0.2">
      <c r="A238" t="s">
        <v>262</v>
      </c>
      <c r="B238" t="s">
        <v>66</v>
      </c>
      <c r="C238" t="s">
        <v>23</v>
      </c>
      <c r="D238">
        <v>2</v>
      </c>
      <c r="E238">
        <v>0</v>
      </c>
    </row>
    <row r="239" spans="1:5" x14ac:dyDescent="0.2">
      <c r="A239" t="s">
        <v>475</v>
      </c>
      <c r="B239" t="s">
        <v>66</v>
      </c>
      <c r="C239" t="s">
        <v>23</v>
      </c>
      <c r="D239">
        <v>1</v>
      </c>
      <c r="E239">
        <v>0</v>
      </c>
    </row>
    <row r="240" spans="1:5" x14ac:dyDescent="0.2">
      <c r="A240" t="s">
        <v>379</v>
      </c>
      <c r="B240" t="s">
        <v>66</v>
      </c>
      <c r="C240" t="s">
        <v>23</v>
      </c>
      <c r="D240">
        <v>1</v>
      </c>
      <c r="E240">
        <v>0</v>
      </c>
    </row>
    <row r="241" spans="1:5" x14ac:dyDescent="0.2">
      <c r="A241" t="s">
        <v>476</v>
      </c>
      <c r="B241" t="s">
        <v>66</v>
      </c>
      <c r="C241" t="s">
        <v>23</v>
      </c>
      <c r="D241">
        <v>1</v>
      </c>
      <c r="E241">
        <v>3</v>
      </c>
    </row>
    <row r="242" spans="1:5" x14ac:dyDescent="0.2">
      <c r="A242" t="s">
        <v>477</v>
      </c>
      <c r="B242" t="s">
        <v>51</v>
      </c>
      <c r="C242" t="s">
        <v>23</v>
      </c>
      <c r="D242">
        <v>1</v>
      </c>
      <c r="E242">
        <v>4</v>
      </c>
    </row>
    <row r="243" spans="1:5" x14ac:dyDescent="0.2">
      <c r="A243" t="s">
        <v>266</v>
      </c>
      <c r="B243" t="s">
        <v>51</v>
      </c>
      <c r="C243" t="s">
        <v>23</v>
      </c>
      <c r="D243">
        <v>1</v>
      </c>
      <c r="E243">
        <v>0</v>
      </c>
    </row>
    <row r="244" spans="1:5" x14ac:dyDescent="0.2">
      <c r="A244" t="s">
        <v>161</v>
      </c>
      <c r="B244" t="s">
        <v>51</v>
      </c>
      <c r="C244" t="s">
        <v>23</v>
      </c>
      <c r="D244">
        <v>1</v>
      </c>
      <c r="E244">
        <v>0</v>
      </c>
    </row>
    <row r="245" spans="1:5" x14ac:dyDescent="0.2">
      <c r="A245" t="s">
        <v>380</v>
      </c>
      <c r="B245" t="s">
        <v>51</v>
      </c>
      <c r="C245" t="s">
        <v>23</v>
      </c>
      <c r="D245">
        <v>1</v>
      </c>
      <c r="E245">
        <v>0</v>
      </c>
    </row>
    <row r="246" spans="1:5" x14ac:dyDescent="0.2">
      <c r="A246" t="s">
        <v>267</v>
      </c>
      <c r="B246" t="s">
        <v>122</v>
      </c>
      <c r="C246" t="s">
        <v>23</v>
      </c>
      <c r="D246">
        <v>3</v>
      </c>
      <c r="E246">
        <v>2.5</v>
      </c>
    </row>
    <row r="247" spans="1:5" x14ac:dyDescent="0.2">
      <c r="A247" t="s">
        <v>331</v>
      </c>
      <c r="B247" t="s">
        <v>122</v>
      </c>
      <c r="C247" t="s">
        <v>23</v>
      </c>
      <c r="D247">
        <v>1</v>
      </c>
      <c r="E247">
        <v>2.5</v>
      </c>
    </row>
    <row r="248" spans="1:5" x14ac:dyDescent="0.2">
      <c r="A248" t="s">
        <v>478</v>
      </c>
      <c r="B248" t="s">
        <v>122</v>
      </c>
      <c r="C248" t="s">
        <v>23</v>
      </c>
      <c r="D248">
        <v>2</v>
      </c>
      <c r="E248">
        <v>2.5</v>
      </c>
    </row>
    <row r="249" spans="1:5" x14ac:dyDescent="0.2">
      <c r="A249" t="s">
        <v>269</v>
      </c>
      <c r="B249" t="s">
        <v>122</v>
      </c>
      <c r="C249" t="s">
        <v>23</v>
      </c>
      <c r="D249">
        <v>4</v>
      </c>
      <c r="E249">
        <v>7.5</v>
      </c>
    </row>
    <row r="250" spans="1:5" x14ac:dyDescent="0.2">
      <c r="A250" t="s">
        <v>479</v>
      </c>
      <c r="B250" t="s">
        <v>122</v>
      </c>
      <c r="C250" t="s">
        <v>23</v>
      </c>
      <c r="D250">
        <v>2</v>
      </c>
      <c r="E250">
        <v>0</v>
      </c>
    </row>
    <row r="251" spans="1:5" x14ac:dyDescent="0.2">
      <c r="A251" t="s">
        <v>273</v>
      </c>
      <c r="B251" t="s">
        <v>124</v>
      </c>
      <c r="C251" t="s">
        <v>23</v>
      </c>
      <c r="D251">
        <v>3</v>
      </c>
      <c r="E251">
        <v>2.5</v>
      </c>
    </row>
    <row r="252" spans="1:5" x14ac:dyDescent="0.2">
      <c r="A252" t="s">
        <v>274</v>
      </c>
      <c r="B252" t="s">
        <v>480</v>
      </c>
      <c r="C252" t="s">
        <v>23</v>
      </c>
      <c r="D252">
        <v>2</v>
      </c>
      <c r="E252">
        <v>0</v>
      </c>
    </row>
    <row r="253" spans="1:5" x14ac:dyDescent="0.2">
      <c r="A253" t="s">
        <v>275</v>
      </c>
      <c r="B253" t="s">
        <v>162</v>
      </c>
      <c r="C253" t="s">
        <v>23</v>
      </c>
      <c r="D253">
        <v>1</v>
      </c>
      <c r="E253">
        <v>2.5</v>
      </c>
    </row>
    <row r="254" spans="1:5" x14ac:dyDescent="0.2">
      <c r="A254" t="s">
        <v>275</v>
      </c>
      <c r="B254" t="s">
        <v>445</v>
      </c>
      <c r="C254" t="s">
        <v>23</v>
      </c>
      <c r="D254">
        <v>2</v>
      </c>
      <c r="E254">
        <v>0</v>
      </c>
    </row>
    <row r="255" spans="1:5" x14ac:dyDescent="0.2">
      <c r="A255" t="s">
        <v>276</v>
      </c>
      <c r="B255" t="s">
        <v>162</v>
      </c>
      <c r="C255" t="s">
        <v>23</v>
      </c>
      <c r="D255">
        <v>2</v>
      </c>
      <c r="E255">
        <v>2.5</v>
      </c>
    </row>
    <row r="256" spans="1:5" x14ac:dyDescent="0.2">
      <c r="A256" t="s">
        <v>277</v>
      </c>
      <c r="B256" t="s">
        <v>54</v>
      </c>
      <c r="C256" t="s">
        <v>23</v>
      </c>
      <c r="D256">
        <v>2</v>
      </c>
      <c r="E256">
        <v>0</v>
      </c>
    </row>
    <row r="257" spans="1:5" x14ac:dyDescent="0.2">
      <c r="A257" t="s">
        <v>125</v>
      </c>
      <c r="B257" t="s">
        <v>54</v>
      </c>
      <c r="C257" t="s">
        <v>23</v>
      </c>
      <c r="D257">
        <v>2</v>
      </c>
      <c r="E257">
        <v>0</v>
      </c>
    </row>
    <row r="258" spans="1:5" x14ac:dyDescent="0.2">
      <c r="A258" t="s">
        <v>278</v>
      </c>
      <c r="B258" t="s">
        <v>55</v>
      </c>
      <c r="C258" t="s">
        <v>23</v>
      </c>
      <c r="D258">
        <v>4</v>
      </c>
      <c r="E258">
        <v>18</v>
      </c>
    </row>
    <row r="259" spans="1:5" x14ac:dyDescent="0.2">
      <c r="A259" t="s">
        <v>279</v>
      </c>
      <c r="B259" t="s">
        <v>55</v>
      </c>
      <c r="C259" t="s">
        <v>23</v>
      </c>
      <c r="D259">
        <v>1</v>
      </c>
      <c r="E259">
        <v>0</v>
      </c>
    </row>
    <row r="260" spans="1:5" x14ac:dyDescent="0.2">
      <c r="A260" t="s">
        <v>280</v>
      </c>
      <c r="B260" t="s">
        <v>55</v>
      </c>
      <c r="C260" t="s">
        <v>23</v>
      </c>
      <c r="D260">
        <v>1</v>
      </c>
      <c r="E260">
        <v>0</v>
      </c>
    </row>
    <row r="261" spans="1:5" x14ac:dyDescent="0.2">
      <c r="A261" t="s">
        <v>481</v>
      </c>
      <c r="B261" t="s">
        <v>55</v>
      </c>
      <c r="C261" t="s">
        <v>23</v>
      </c>
      <c r="D261">
        <v>1</v>
      </c>
      <c r="E261">
        <v>4</v>
      </c>
    </row>
    <row r="262" spans="1:5" x14ac:dyDescent="0.2">
      <c r="A262" t="s">
        <v>283</v>
      </c>
      <c r="B262" t="s">
        <v>95</v>
      </c>
      <c r="C262" t="s">
        <v>23</v>
      </c>
      <c r="D262">
        <v>1</v>
      </c>
      <c r="E262">
        <v>0</v>
      </c>
    </row>
    <row r="263" spans="1:5" x14ac:dyDescent="0.2">
      <c r="A263" t="s">
        <v>284</v>
      </c>
      <c r="B263" t="s">
        <v>285</v>
      </c>
      <c r="C263" t="s">
        <v>23</v>
      </c>
      <c r="D263">
        <v>1</v>
      </c>
      <c r="E263">
        <v>0</v>
      </c>
    </row>
    <row r="264" spans="1:5" x14ac:dyDescent="0.2">
      <c r="A264" t="s">
        <v>482</v>
      </c>
      <c r="B264" t="s">
        <v>163</v>
      </c>
      <c r="C264" t="s">
        <v>23</v>
      </c>
      <c r="D264">
        <v>4</v>
      </c>
      <c r="E264">
        <v>42.5</v>
      </c>
    </row>
    <row r="265" spans="1:5" x14ac:dyDescent="0.2">
      <c r="A265" t="s">
        <v>483</v>
      </c>
      <c r="B265" t="s">
        <v>163</v>
      </c>
      <c r="C265" t="s">
        <v>23</v>
      </c>
      <c r="D265">
        <v>1</v>
      </c>
      <c r="E265">
        <v>9</v>
      </c>
    </row>
    <row r="266" spans="1:5" x14ac:dyDescent="0.2">
      <c r="A266" t="s">
        <v>286</v>
      </c>
      <c r="B266" t="s">
        <v>163</v>
      </c>
      <c r="C266" t="s">
        <v>23</v>
      </c>
      <c r="D266">
        <v>7</v>
      </c>
      <c r="E266">
        <v>7.5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49"/>
  <sheetViews>
    <sheetView tabSelected="1" zoomScale="150" workbookViewId="0">
      <selection activeCell="I9" sqref="I9"/>
    </sheetView>
  </sheetViews>
  <sheetFormatPr baseColWidth="10" defaultColWidth="8.83203125" defaultRowHeight="15" x14ac:dyDescent="0.2"/>
  <cols>
    <col min="1" max="1" width="33.5" bestFit="1" customWidth="1"/>
    <col min="2" max="6" width="9.1640625" style="26"/>
    <col min="7" max="9" width="8.83203125" style="26"/>
    <col min="10" max="10" width="11.83203125" bestFit="1" customWidth="1"/>
    <col min="11" max="16" width="11.83203125" customWidth="1"/>
  </cols>
  <sheetData>
    <row r="1" spans="1:28" ht="16" thickBot="1" x14ac:dyDescent="0.25">
      <c r="J1" s="59" t="s">
        <v>507</v>
      </c>
      <c r="K1" s="59"/>
      <c r="L1" s="59"/>
      <c r="M1" s="59"/>
      <c r="N1" s="59"/>
      <c r="O1" s="59"/>
      <c r="P1" s="59"/>
      <c r="Q1" s="59"/>
      <c r="R1" s="59"/>
    </row>
    <row r="2" spans="1:28" ht="16" thickBot="1" x14ac:dyDescent="0.25">
      <c r="A2" s="29"/>
      <c r="B2" s="30" t="s">
        <v>129</v>
      </c>
      <c r="C2" s="30" t="s">
        <v>298</v>
      </c>
      <c r="D2" s="30" t="s">
        <v>1</v>
      </c>
      <c r="E2" s="30" t="s">
        <v>2</v>
      </c>
      <c r="F2" s="31" t="s">
        <v>3</v>
      </c>
      <c r="G2" t="s">
        <v>497</v>
      </c>
      <c r="H2" t="s">
        <v>498</v>
      </c>
      <c r="I2" t="s">
        <v>499</v>
      </c>
      <c r="J2" t="s">
        <v>488</v>
      </c>
      <c r="K2" t="s">
        <v>489</v>
      </c>
      <c r="L2" t="s">
        <v>490</v>
      </c>
      <c r="M2" t="s">
        <v>491</v>
      </c>
      <c r="N2" t="s">
        <v>492</v>
      </c>
      <c r="O2" t="s">
        <v>493</v>
      </c>
      <c r="P2" t="s">
        <v>495</v>
      </c>
      <c r="Q2" t="s">
        <v>494</v>
      </c>
      <c r="R2" t="s">
        <v>496</v>
      </c>
      <c r="T2" t="s">
        <v>488</v>
      </c>
      <c r="U2" t="s">
        <v>489</v>
      </c>
      <c r="V2" t="s">
        <v>490</v>
      </c>
      <c r="W2" t="s">
        <v>491</v>
      </c>
      <c r="X2" t="s">
        <v>492</v>
      </c>
      <c r="Y2" t="s">
        <v>493</v>
      </c>
      <c r="Z2" t="s">
        <v>495</v>
      </c>
      <c r="AA2" t="s">
        <v>494</v>
      </c>
      <c r="AB2" t="s">
        <v>496</v>
      </c>
    </row>
    <row r="3" spans="1:28" ht="16" x14ac:dyDescent="0.2">
      <c r="A3" s="36" t="s">
        <v>35</v>
      </c>
      <c r="B3" s="39">
        <f>B6C3F1!H3</f>
        <v>0.75</v>
      </c>
      <c r="C3" s="40">
        <f ca="1">'BALB cByJ'!I2</f>
        <v>0</v>
      </c>
      <c r="D3" s="40" t="e">
        <f>CBA!I2</f>
        <v>#DIV/0!</v>
      </c>
      <c r="E3" s="40" t="e">
        <f>'C3H'!I2</f>
        <v>#DIV/0!</v>
      </c>
      <c r="F3" s="41" t="e">
        <f ca="1">'C57BL6J'!I2</f>
        <v>#DIV/0!</v>
      </c>
      <c r="G3" s="26">
        <v>0</v>
      </c>
      <c r="H3" s="26">
        <v>0</v>
      </c>
      <c r="I3" s="26">
        <v>0</v>
      </c>
      <c r="J3" s="46"/>
      <c r="K3" s="46"/>
      <c r="L3" s="46"/>
      <c r="M3" s="46"/>
      <c r="N3" s="46"/>
      <c r="O3" s="46"/>
      <c r="P3" s="46"/>
      <c r="Q3" s="46"/>
      <c r="R3" s="46"/>
      <c r="S3" t="s">
        <v>12</v>
      </c>
      <c r="T3">
        <v>5.3846308758184902</v>
      </c>
      <c r="U3">
        <v>0.88706907899116605</v>
      </c>
      <c r="V3">
        <v>6.10926035796136</v>
      </c>
      <c r="W3">
        <v>0.85723767664167405</v>
      </c>
      <c r="X3">
        <v>4.24544203233628</v>
      </c>
      <c r="Y3">
        <v>9.05665854075162</v>
      </c>
      <c r="Z3">
        <v>3.6141720121635532</v>
      </c>
      <c r="AA3">
        <v>20.261997554665701</v>
      </c>
      <c r="AB3">
        <v>9.05665854075162</v>
      </c>
    </row>
    <row r="4" spans="1:28" ht="16" x14ac:dyDescent="0.2">
      <c r="A4" s="37" t="s">
        <v>166</v>
      </c>
      <c r="B4" s="42">
        <f>B6C3F1!H4</f>
        <v>4.4285714285714288</v>
      </c>
      <c r="C4" s="27">
        <f ca="1">'BALB cByJ'!I3</f>
        <v>4.166666666666667</v>
      </c>
      <c r="D4" s="27">
        <f>CBA!I3</f>
        <v>13.833333333333334</v>
      </c>
      <c r="E4" s="27">
        <f>'C3H'!I3</f>
        <v>51.25</v>
      </c>
      <c r="F4" s="28">
        <f ca="1">'C57BL6J'!I3</f>
        <v>3.09375</v>
      </c>
      <c r="G4" s="26">
        <v>0</v>
      </c>
      <c r="H4" s="26">
        <v>0</v>
      </c>
      <c r="I4" s="53">
        <v>0</v>
      </c>
      <c r="J4" s="46">
        <f t="shared" ref="J4:J48" ca="1" si="0">PEARSON($B4:$F4,T$3:T$7)</f>
        <v>3.5842295866534181E-2</v>
      </c>
      <c r="K4" s="46">
        <f t="shared" ref="K4:K48" ca="1" si="1">PEARSON($B4:$F4,U$3:U$7)</f>
        <v>-0.48359636823688851</v>
      </c>
      <c r="L4" s="46">
        <f t="shared" ref="L4:L48" ca="1" si="2">PEARSON($B4:$F4,V$3:V$7)</f>
        <v>0.7572954927553367</v>
      </c>
      <c r="M4" s="46">
        <f t="shared" ref="M4:M48" ca="1" si="3">PEARSON($B4:$F4,W$3:W$7)</f>
        <v>-0.10370714866897371</v>
      </c>
      <c r="N4" s="46">
        <f t="shared" ref="N4:N48" ca="1" si="4">PEARSON($B4:$F4,X$3:X$7)</f>
        <v>-0.16949779213020516</v>
      </c>
      <c r="O4" s="46">
        <f t="shared" ref="O4:O48" ca="1" si="5">PEARSON($B4:$F4,Y$3:Y$7)</f>
        <v>0.900321865512276</v>
      </c>
      <c r="P4" s="46">
        <f t="shared" ref="P4:P48" ca="1" si="6">PEARSON($B4:$F4,Z$3:Z$7)</f>
        <v>0.51044943332731085</v>
      </c>
      <c r="Q4" s="46">
        <f t="shared" ref="Q4:Q48" ca="1" si="7">PEARSON($B4:$F4,AA$3:AA$7)</f>
        <v>0.7319893982028578</v>
      </c>
      <c r="R4" s="46">
        <f t="shared" ref="R4:R48" ca="1" si="8">PEARSON($B4:$F4,AB$3:AB$7)</f>
        <v>0.900321865512276</v>
      </c>
      <c r="S4" t="s">
        <v>13</v>
      </c>
      <c r="T4">
        <v>7.2797006147032697</v>
      </c>
      <c r="U4">
        <v>0.90177099213016099</v>
      </c>
      <c r="V4">
        <v>6.9942103529647</v>
      </c>
      <c r="W4">
        <v>0.90753741576009805</v>
      </c>
      <c r="X4">
        <v>2.3854505097362102</v>
      </c>
      <c r="Y4">
        <v>10.195734727808601</v>
      </c>
      <c r="Z4">
        <v>3.8112864197929901</v>
      </c>
      <c r="AA4">
        <v>26.947274517523098</v>
      </c>
      <c r="AB4">
        <v>10.195734727808601</v>
      </c>
    </row>
    <row r="5" spans="1:28" ht="16" x14ac:dyDescent="0.2">
      <c r="A5" s="37" t="s">
        <v>43</v>
      </c>
      <c r="B5" s="42">
        <f>B6C3F1!H5</f>
        <v>1.6428571428571428</v>
      </c>
      <c r="C5" s="27">
        <f ca="1">'BALB cByJ'!I4</f>
        <v>1.25</v>
      </c>
      <c r="D5" s="27">
        <f>CBA!I4</f>
        <v>0</v>
      </c>
      <c r="E5" s="27">
        <f>'C3H'!I4</f>
        <v>0.9</v>
      </c>
      <c r="F5" s="28">
        <f ca="1">'C57BL6J'!I4</f>
        <v>1.75</v>
      </c>
      <c r="G5" s="26">
        <v>0</v>
      </c>
      <c r="H5" s="26">
        <v>0</v>
      </c>
      <c r="I5" s="53">
        <v>0</v>
      </c>
      <c r="J5" s="46">
        <f t="shared" ca="1" si="0"/>
        <v>-0.39003211468031596</v>
      </c>
      <c r="K5" s="46">
        <f t="shared" ca="1" si="1"/>
        <v>0.12385538152954871</v>
      </c>
      <c r="L5" s="46">
        <f t="shared" ca="1" si="2"/>
        <v>-0.79066226808814077</v>
      </c>
      <c r="M5" s="46">
        <f t="shared" ca="1" si="3"/>
        <v>-2.6784578129192212E-2</v>
      </c>
      <c r="N5" s="46">
        <f t="shared" ca="1" si="4"/>
        <v>0.11611562801958797</v>
      </c>
      <c r="O5" s="46">
        <f t="shared" ca="1" si="5"/>
        <v>-0.50175975941968576</v>
      </c>
      <c r="P5" s="46">
        <f t="shared" ca="1" si="6"/>
        <v>0.52131796746649295</v>
      </c>
      <c r="Q5" s="46">
        <f t="shared" ca="1" si="7"/>
        <v>-0.19069219369510429</v>
      </c>
      <c r="R5" s="46">
        <f t="shared" ca="1" si="8"/>
        <v>-0.50175975941968576</v>
      </c>
      <c r="S5" t="s">
        <v>1</v>
      </c>
      <c r="T5">
        <v>6.2424646338974297</v>
      </c>
      <c r="U5">
        <v>0.88424278109684995</v>
      </c>
      <c r="V5">
        <v>7.5134753183892098</v>
      </c>
      <c r="W5">
        <v>0.86876757112821101</v>
      </c>
      <c r="X5">
        <v>3.1569833234654801</v>
      </c>
      <c r="Y5">
        <v>10.072893335806301</v>
      </c>
      <c r="Z5">
        <v>2.8177823410928671</v>
      </c>
      <c r="AA5">
        <v>22.421855467368999</v>
      </c>
      <c r="AB5">
        <v>10.072893335806301</v>
      </c>
    </row>
    <row r="6" spans="1:28" ht="16" x14ac:dyDescent="0.2">
      <c r="A6" s="37" t="s">
        <v>61</v>
      </c>
      <c r="B6" s="42">
        <f>B6C3F1!H6</f>
        <v>2</v>
      </c>
      <c r="C6" s="27" t="e">
        <f ca="1">'BALB cByJ'!I5</f>
        <v>#DIV/0!</v>
      </c>
      <c r="D6" s="27" t="e">
        <f>CBA!I5</f>
        <v>#DIV/0!</v>
      </c>
      <c r="E6" s="27" t="e">
        <f>'C3H'!I5</f>
        <v>#DIV/0!</v>
      </c>
      <c r="F6" s="28" t="e">
        <f ca="1">'C57BL6J'!I5</f>
        <v>#DIV/0!</v>
      </c>
      <c r="G6" s="26">
        <v>0</v>
      </c>
      <c r="H6" s="26">
        <v>0</v>
      </c>
      <c r="I6" s="26">
        <v>0</v>
      </c>
      <c r="J6" s="46" t="e">
        <f t="shared" ca="1" si="0"/>
        <v>#DIV/0!</v>
      </c>
      <c r="K6" s="46" t="e">
        <f t="shared" ca="1" si="1"/>
        <v>#DIV/0!</v>
      </c>
      <c r="L6" s="46" t="e">
        <f t="shared" ca="1" si="2"/>
        <v>#DIV/0!</v>
      </c>
      <c r="M6" s="46" t="e">
        <f t="shared" ca="1" si="3"/>
        <v>#DIV/0!</v>
      </c>
      <c r="N6" s="46" t="e">
        <f t="shared" ca="1" si="4"/>
        <v>#DIV/0!</v>
      </c>
      <c r="O6" s="46" t="e">
        <f t="shared" ca="1" si="5"/>
        <v>#DIV/0!</v>
      </c>
      <c r="P6" s="46" t="e">
        <f t="shared" ca="1" si="6"/>
        <v>#DIV/0!</v>
      </c>
      <c r="Q6" s="46" t="e">
        <f t="shared" ca="1" si="7"/>
        <v>#DIV/0!</v>
      </c>
      <c r="R6" s="46" t="e">
        <f t="shared" ca="1" si="8"/>
        <v>#DIV/0!</v>
      </c>
      <c r="S6" t="s">
        <v>2</v>
      </c>
      <c r="T6">
        <v>6.04458282998326</v>
      </c>
      <c r="U6">
        <v>0.87988504631424902</v>
      </c>
      <c r="V6">
        <v>7.7699679391821199</v>
      </c>
      <c r="W6">
        <v>0.87286613661907597</v>
      </c>
      <c r="X6">
        <v>2.8029287472294002</v>
      </c>
      <c r="Y6">
        <v>11.6650308922381</v>
      </c>
      <c r="Z6">
        <v>4.22015351843421</v>
      </c>
      <c r="AA6">
        <v>29.518451429337599</v>
      </c>
      <c r="AB6">
        <v>11.6650308922381</v>
      </c>
    </row>
    <row r="7" spans="1:28" ht="16" x14ac:dyDescent="0.2">
      <c r="A7" s="37" t="s">
        <v>60</v>
      </c>
      <c r="B7" s="42">
        <f>B6C3F1!H7</f>
        <v>0</v>
      </c>
      <c r="C7" s="27">
        <f ca="1">'BALB cByJ'!I6</f>
        <v>0</v>
      </c>
      <c r="D7" s="27" t="e">
        <f>CBA!I6</f>
        <v>#DIV/0!</v>
      </c>
      <c r="E7" s="27" t="e">
        <f>'C3H'!I6</f>
        <v>#DIV/0!</v>
      </c>
      <c r="F7" s="28" t="e">
        <f ca="1">'C57BL6J'!I6</f>
        <v>#DIV/0!</v>
      </c>
      <c r="G7" s="26">
        <v>0</v>
      </c>
      <c r="H7" s="26">
        <v>0</v>
      </c>
      <c r="I7" s="26">
        <v>0</v>
      </c>
      <c r="J7" s="46" t="e">
        <f t="shared" ca="1" si="0"/>
        <v>#DIV/0!</v>
      </c>
      <c r="K7" s="46" t="e">
        <f t="shared" ca="1" si="1"/>
        <v>#DIV/0!</v>
      </c>
      <c r="L7" s="46" t="e">
        <f t="shared" ca="1" si="2"/>
        <v>#DIV/0!</v>
      </c>
      <c r="M7" s="46" t="e">
        <f t="shared" ca="1" si="3"/>
        <v>#DIV/0!</v>
      </c>
      <c r="N7" s="46" t="e">
        <f t="shared" ca="1" si="4"/>
        <v>#DIV/0!</v>
      </c>
      <c r="O7" s="46" t="e">
        <f t="shared" ca="1" si="5"/>
        <v>#DIV/0!</v>
      </c>
      <c r="P7" s="46" t="e">
        <f t="shared" ca="1" si="6"/>
        <v>#DIV/0!</v>
      </c>
      <c r="Q7" s="46" t="e">
        <f t="shared" ca="1" si="7"/>
        <v>#DIV/0!</v>
      </c>
      <c r="R7" s="46" t="e">
        <f t="shared" ca="1" si="8"/>
        <v>#DIV/0!</v>
      </c>
      <c r="S7" t="s">
        <v>14</v>
      </c>
      <c r="T7">
        <v>5.2886282417547701</v>
      </c>
      <c r="U7">
        <v>0.88138529285167899</v>
      </c>
      <c r="V7">
        <v>6.4638731845622797</v>
      </c>
      <c r="W7">
        <v>0.86890958520772898</v>
      </c>
      <c r="X7">
        <v>2.6739664836414399</v>
      </c>
      <c r="Y7">
        <v>9.0333445978229694</v>
      </c>
      <c r="Z7">
        <v>3.5618668299979737</v>
      </c>
      <c r="AA7">
        <v>22.339623866765201</v>
      </c>
      <c r="AB7">
        <v>9.0333445978229694</v>
      </c>
    </row>
    <row r="8" spans="1:28" ht="16" x14ac:dyDescent="0.2">
      <c r="A8" s="37" t="s">
        <v>38</v>
      </c>
      <c r="B8" s="42">
        <f>B6C3F1!H8</f>
        <v>0.625</v>
      </c>
      <c r="C8" s="27">
        <f ca="1">'BALB cByJ'!I7</f>
        <v>0</v>
      </c>
      <c r="D8" s="27" t="e">
        <f>CBA!I7</f>
        <v>#DIV/0!</v>
      </c>
      <c r="E8" s="27" t="e">
        <f>'C3H'!I7</f>
        <v>#DIV/0!</v>
      </c>
      <c r="F8" s="28">
        <f ca="1">'C57BL6J'!I7</f>
        <v>0</v>
      </c>
      <c r="G8" s="26">
        <v>0</v>
      </c>
      <c r="H8" s="26">
        <v>0</v>
      </c>
      <c r="I8" s="26">
        <v>0</v>
      </c>
      <c r="J8" s="46" t="e">
        <f t="shared" ca="1" si="0"/>
        <v>#DIV/0!</v>
      </c>
      <c r="K8" s="46" t="e">
        <f t="shared" ca="1" si="1"/>
        <v>#DIV/0!</v>
      </c>
      <c r="L8" s="46" t="e">
        <f t="shared" ca="1" si="2"/>
        <v>#DIV/0!</v>
      </c>
      <c r="M8" s="46" t="e">
        <f t="shared" ca="1" si="3"/>
        <v>#DIV/0!</v>
      </c>
      <c r="N8" s="46" t="e">
        <f t="shared" ca="1" si="4"/>
        <v>#DIV/0!</v>
      </c>
      <c r="O8" s="46" t="e">
        <f t="shared" ca="1" si="5"/>
        <v>#DIV/0!</v>
      </c>
      <c r="P8" s="46" t="e">
        <f t="shared" ca="1" si="6"/>
        <v>#DIV/0!</v>
      </c>
      <c r="Q8" s="46" t="e">
        <f t="shared" ca="1" si="7"/>
        <v>#DIV/0!</v>
      </c>
      <c r="R8" s="46" t="e">
        <f t="shared" ca="1" si="8"/>
        <v>#DIV/0!</v>
      </c>
      <c r="S8" t="s">
        <v>497</v>
      </c>
      <c r="T8">
        <v>5.5249998919910199</v>
      </c>
      <c r="U8">
        <v>0.87371598925234695</v>
      </c>
      <c r="V8">
        <v>6.1430720728562802</v>
      </c>
      <c r="W8">
        <v>0.87657366984803198</v>
      </c>
      <c r="X8">
        <v>2.88240207989766</v>
      </c>
      <c r="Y8">
        <v>10.201013305631299</v>
      </c>
      <c r="Z8">
        <v>3.2334041727192835</v>
      </c>
      <c r="AA8">
        <v>34.808323608186399</v>
      </c>
      <c r="AB8">
        <v>10.201013305631299</v>
      </c>
    </row>
    <row r="9" spans="1:28" ht="16" x14ac:dyDescent="0.2">
      <c r="A9" s="37" t="s">
        <v>132</v>
      </c>
      <c r="B9" s="42">
        <f>B6C3F1!H9</f>
        <v>3.4375</v>
      </c>
      <c r="C9" s="27" t="e">
        <f ca="1">'BALB cByJ'!I8</f>
        <v>#DIV/0!</v>
      </c>
      <c r="D9" s="27" t="e">
        <f>CBA!I8</f>
        <v>#DIV/0!</v>
      </c>
      <c r="E9" s="27" t="e">
        <f>'C3H'!I8</f>
        <v>#DIV/0!</v>
      </c>
      <c r="F9" s="28">
        <f ca="1">'C57BL6J'!I8</f>
        <v>1.75</v>
      </c>
      <c r="G9" s="26">
        <v>0</v>
      </c>
      <c r="H9" s="26">
        <v>0</v>
      </c>
      <c r="I9" s="26">
        <v>0</v>
      </c>
      <c r="J9" s="46" t="e">
        <f t="shared" ca="1" si="0"/>
        <v>#DIV/0!</v>
      </c>
      <c r="K9" s="46" t="e">
        <f t="shared" ca="1" si="1"/>
        <v>#DIV/0!</v>
      </c>
      <c r="L9" s="46" t="e">
        <f t="shared" ca="1" si="2"/>
        <v>#DIV/0!</v>
      </c>
      <c r="M9" s="46" t="e">
        <f t="shared" ca="1" si="3"/>
        <v>#DIV/0!</v>
      </c>
      <c r="N9" s="46" t="e">
        <f t="shared" ca="1" si="4"/>
        <v>#DIV/0!</v>
      </c>
      <c r="O9" s="46" t="e">
        <f t="shared" ca="1" si="5"/>
        <v>#DIV/0!</v>
      </c>
      <c r="P9" s="46" t="e">
        <f t="shared" ca="1" si="6"/>
        <v>#DIV/0!</v>
      </c>
      <c r="Q9" s="46" t="e">
        <f t="shared" ca="1" si="7"/>
        <v>#DIV/0!</v>
      </c>
      <c r="R9" s="46" t="e">
        <f t="shared" ca="1" si="8"/>
        <v>#DIV/0!</v>
      </c>
      <c r="S9" t="s">
        <v>498</v>
      </c>
      <c r="T9">
        <v>6.2976920188016203</v>
      </c>
      <c r="U9">
        <v>0.89448360814332695</v>
      </c>
      <c r="V9">
        <v>6.6107177565660704</v>
      </c>
      <c r="W9">
        <v>0.91326127159688497</v>
      </c>
      <c r="X9">
        <v>2.7994094320715801</v>
      </c>
      <c r="Y9">
        <v>9.5533813997801609</v>
      </c>
      <c r="Z9">
        <v>4.3946552220831707</v>
      </c>
      <c r="AA9">
        <v>22.518947569072299</v>
      </c>
      <c r="AB9">
        <v>9.5533813997801609</v>
      </c>
    </row>
    <row r="10" spans="1:28" ht="16" x14ac:dyDescent="0.2">
      <c r="A10" s="37" t="s">
        <v>65</v>
      </c>
      <c r="B10" s="42">
        <f>B6C3F1!H10</f>
        <v>1</v>
      </c>
      <c r="C10" s="27">
        <f ca="1">'BALB cByJ'!I9</f>
        <v>0.625</v>
      </c>
      <c r="D10" s="27" t="e">
        <f>CBA!I9</f>
        <v>#DIV/0!</v>
      </c>
      <c r="E10" s="27" t="e">
        <f>'C3H'!I9</f>
        <v>#DIV/0!</v>
      </c>
      <c r="F10" s="28">
        <f ca="1">'C57BL6J'!I9</f>
        <v>0</v>
      </c>
      <c r="G10" s="26">
        <v>0</v>
      </c>
      <c r="H10" s="26">
        <v>0</v>
      </c>
      <c r="I10" s="53">
        <v>0</v>
      </c>
      <c r="J10" s="46" t="e">
        <f t="shared" ca="1" si="0"/>
        <v>#DIV/0!</v>
      </c>
      <c r="K10" s="46" t="e">
        <f t="shared" ca="1" si="1"/>
        <v>#DIV/0!</v>
      </c>
      <c r="L10" s="46" t="e">
        <f t="shared" ca="1" si="2"/>
        <v>#DIV/0!</v>
      </c>
      <c r="M10" s="46" t="e">
        <f t="shared" ca="1" si="3"/>
        <v>#DIV/0!</v>
      </c>
      <c r="N10" s="46" t="e">
        <f t="shared" ca="1" si="4"/>
        <v>#DIV/0!</v>
      </c>
      <c r="O10" s="46" t="e">
        <f t="shared" ca="1" si="5"/>
        <v>#DIV/0!</v>
      </c>
      <c r="P10" s="46" t="e">
        <f t="shared" ca="1" si="6"/>
        <v>#DIV/0!</v>
      </c>
      <c r="Q10" s="46" t="e">
        <f t="shared" ca="1" si="7"/>
        <v>#DIV/0!</v>
      </c>
      <c r="R10" s="46" t="e">
        <f t="shared" ca="1" si="8"/>
        <v>#DIV/0!</v>
      </c>
      <c r="S10" t="s">
        <v>499</v>
      </c>
      <c r="T10">
        <v>4.0569214068125197</v>
      </c>
      <c r="U10">
        <v>0.80669125205743997</v>
      </c>
      <c r="V10">
        <v>4.9886443193071601</v>
      </c>
      <c r="W10">
        <v>0.880612063032012</v>
      </c>
      <c r="X10">
        <v>2.0871700343307902</v>
      </c>
      <c r="Y10">
        <v>10.572801305319301</v>
      </c>
      <c r="Z10">
        <v>5.6815990172937889</v>
      </c>
      <c r="AA10">
        <v>25.233659695153499</v>
      </c>
      <c r="AB10">
        <v>10.572801305319301</v>
      </c>
    </row>
    <row r="11" spans="1:28" ht="16" x14ac:dyDescent="0.2">
      <c r="A11" s="37" t="s">
        <v>71</v>
      </c>
      <c r="B11" s="42">
        <f>B6C3F1!H11</f>
        <v>1</v>
      </c>
      <c r="C11" s="27" t="e">
        <f ca="1">'BALB cByJ'!I10</f>
        <v>#DIV/0!</v>
      </c>
      <c r="D11" s="27" t="e">
        <f>CBA!I10</f>
        <v>#DIV/0!</v>
      </c>
      <c r="E11" s="27" t="e">
        <f>'C3H'!I10</f>
        <v>#DIV/0!</v>
      </c>
      <c r="F11" s="28" t="e">
        <f ca="1">'C57BL6J'!I10</f>
        <v>#DIV/0!</v>
      </c>
      <c r="G11" s="26">
        <v>0</v>
      </c>
      <c r="H11" s="26">
        <v>0</v>
      </c>
      <c r="I11" s="53"/>
      <c r="J11" s="46" t="e">
        <f t="shared" ca="1" si="0"/>
        <v>#DIV/0!</v>
      </c>
      <c r="K11" s="46" t="e">
        <f t="shared" ca="1" si="1"/>
        <v>#DIV/0!</v>
      </c>
      <c r="L11" s="46" t="e">
        <f t="shared" ca="1" si="2"/>
        <v>#DIV/0!</v>
      </c>
      <c r="M11" s="46" t="e">
        <f t="shared" ca="1" si="3"/>
        <v>#DIV/0!</v>
      </c>
      <c r="N11" s="46" t="e">
        <f t="shared" ca="1" si="4"/>
        <v>#DIV/0!</v>
      </c>
      <c r="O11" s="46" t="e">
        <f t="shared" ca="1" si="5"/>
        <v>#DIV/0!</v>
      </c>
      <c r="P11" s="46" t="e">
        <f t="shared" ca="1" si="6"/>
        <v>#DIV/0!</v>
      </c>
      <c r="Q11" s="46" t="e">
        <f t="shared" ca="1" si="7"/>
        <v>#DIV/0!</v>
      </c>
      <c r="R11" s="46" t="e">
        <f t="shared" ca="1" si="8"/>
        <v>#DIV/0!</v>
      </c>
      <c r="S11" t="s">
        <v>500</v>
      </c>
      <c r="T11">
        <v>4.4745192678947001</v>
      </c>
      <c r="U11">
        <v>0.91842112661123498</v>
      </c>
      <c r="V11">
        <v>5.63260117879791</v>
      </c>
      <c r="W11">
        <v>0.93238515028481805</v>
      </c>
      <c r="X11">
        <v>2.18623492436731</v>
      </c>
      <c r="Y11">
        <v>13.1865401561671</v>
      </c>
      <c r="Z11">
        <v>7.6177345921737887</v>
      </c>
      <c r="AA11">
        <v>22.224782747327101</v>
      </c>
      <c r="AB11">
        <v>13.1865401561671</v>
      </c>
    </row>
    <row r="12" spans="1:28" ht="16" x14ac:dyDescent="0.2">
      <c r="A12" s="37" t="s">
        <v>88</v>
      </c>
      <c r="B12" s="42">
        <f>B6C3F1!H12</f>
        <v>5.7450000000000001</v>
      </c>
      <c r="C12" s="27">
        <f ca="1">'BALB cByJ'!I11</f>
        <v>1.6666666666666667</v>
      </c>
      <c r="D12" s="27">
        <f>CBA!I11</f>
        <v>12.5</v>
      </c>
      <c r="E12" s="27">
        <f>'C3H'!I11</f>
        <v>1.75</v>
      </c>
      <c r="F12" s="28">
        <f ca="1">'C57BL6J'!I11</f>
        <v>1.25</v>
      </c>
      <c r="G12" s="26">
        <v>0</v>
      </c>
      <c r="H12" s="26">
        <v>0</v>
      </c>
      <c r="I12" s="53"/>
      <c r="J12" s="46">
        <f t="shared" ca="1" si="0"/>
        <v>-1.8408607409329692E-2</v>
      </c>
      <c r="K12" s="46">
        <f t="shared" ca="1" si="1"/>
        <v>-0.15450774892928365</v>
      </c>
      <c r="L12" s="46">
        <f t="shared" ca="1" si="2"/>
        <v>0.19926864036969305</v>
      </c>
      <c r="M12" s="46">
        <f t="shared" ca="1" si="3"/>
        <v>-0.37935345302213541</v>
      </c>
      <c r="N12" s="46">
        <f t="shared" ca="1" si="4"/>
        <v>0.44326150115514501</v>
      </c>
      <c r="O12" s="46">
        <f t="shared" ca="1" si="5"/>
        <v>-0.12534045690848863</v>
      </c>
      <c r="P12" s="46">
        <f t="shared" ca="1" si="6"/>
        <v>-0.86150213746648718</v>
      </c>
      <c r="Q12" s="46">
        <f t="shared" ca="1" si="7"/>
        <v>-0.48764626872767597</v>
      </c>
      <c r="R12" s="46">
        <f t="shared" ca="1" si="8"/>
        <v>-0.12534045690848863</v>
      </c>
      <c r="S12" t="s">
        <v>501</v>
      </c>
      <c r="T12">
        <v>8.90225792905383</v>
      </c>
      <c r="U12">
        <v>0.913763662669698</v>
      </c>
      <c r="V12">
        <v>6.0399520985349904</v>
      </c>
      <c r="W12">
        <v>0.91337873170448503</v>
      </c>
      <c r="X12">
        <v>3.5157899288180801</v>
      </c>
      <c r="Y12">
        <v>10.433571432128501</v>
      </c>
      <c r="Z12">
        <v>4.4387625197935812</v>
      </c>
      <c r="AA12">
        <v>29.749116416146599</v>
      </c>
      <c r="AB12">
        <v>10.433571432128501</v>
      </c>
    </row>
    <row r="13" spans="1:28" ht="16" x14ac:dyDescent="0.2">
      <c r="A13" s="37" t="s">
        <v>25</v>
      </c>
      <c r="B13" s="42">
        <f>B6C3F1!H13</f>
        <v>2.0833333333333335</v>
      </c>
      <c r="C13" s="27">
        <f ca="1">'BALB cByJ'!I12</f>
        <v>0</v>
      </c>
      <c r="D13" s="27">
        <f>CBA!I12</f>
        <v>2</v>
      </c>
      <c r="E13" s="27" t="e">
        <f>'C3H'!I12</f>
        <v>#DIV/0!</v>
      </c>
      <c r="F13" s="28">
        <f ca="1">'C57BL6J'!I12</f>
        <v>1.6666666666666667</v>
      </c>
      <c r="G13" s="26">
        <v>0</v>
      </c>
      <c r="H13" s="26">
        <v>0</v>
      </c>
      <c r="I13" s="53"/>
      <c r="J13" s="46" t="e">
        <f t="shared" ca="1" si="0"/>
        <v>#DIV/0!</v>
      </c>
      <c r="K13" s="46" t="e">
        <f t="shared" ca="1" si="1"/>
        <v>#DIV/0!</v>
      </c>
      <c r="L13" s="46" t="e">
        <f t="shared" ca="1" si="2"/>
        <v>#DIV/0!</v>
      </c>
      <c r="M13" s="46" t="e">
        <f t="shared" ca="1" si="3"/>
        <v>#DIV/0!</v>
      </c>
      <c r="N13" s="46" t="e">
        <f t="shared" ca="1" si="4"/>
        <v>#DIV/0!</v>
      </c>
      <c r="O13" s="46" t="e">
        <f t="shared" ca="1" si="5"/>
        <v>#DIV/0!</v>
      </c>
      <c r="P13" s="46" t="e">
        <f t="shared" ca="1" si="6"/>
        <v>#DIV/0!</v>
      </c>
      <c r="Q13" s="46" t="e">
        <f t="shared" ca="1" si="7"/>
        <v>#DIV/0!</v>
      </c>
      <c r="R13" s="46" t="e">
        <f t="shared" ca="1" si="8"/>
        <v>#DIV/0!</v>
      </c>
      <c r="S13" t="s">
        <v>502</v>
      </c>
      <c r="T13">
        <v>4.3812192056739097</v>
      </c>
      <c r="U13">
        <v>0.873669463796096</v>
      </c>
      <c r="V13">
        <v>7.0696550228495898</v>
      </c>
      <c r="W13">
        <v>0.87461235076312305</v>
      </c>
      <c r="X13">
        <v>2.4594587532301402</v>
      </c>
      <c r="Y13">
        <v>10.595603132656301</v>
      </c>
      <c r="Z13">
        <v>4.0301495172584278</v>
      </c>
      <c r="AA13">
        <v>20.8303716252741</v>
      </c>
      <c r="AB13">
        <v>10.595603132656301</v>
      </c>
    </row>
    <row r="14" spans="1:28" ht="16" x14ac:dyDescent="0.2">
      <c r="A14" s="37" t="s">
        <v>74</v>
      </c>
      <c r="B14" s="42">
        <f>B6C3F1!H14</f>
        <v>1</v>
      </c>
      <c r="C14" s="27" t="e">
        <f ca="1">'BALB cByJ'!I13</f>
        <v>#DIV/0!</v>
      </c>
      <c r="D14" s="27" t="e">
        <f>CBA!I13</f>
        <v>#DIV/0!</v>
      </c>
      <c r="E14" s="27" t="e">
        <f>'C3H'!I13</f>
        <v>#DIV/0!</v>
      </c>
      <c r="F14" s="28" t="e">
        <f ca="1">'C57BL6J'!I13</f>
        <v>#DIV/0!</v>
      </c>
      <c r="G14" s="26">
        <v>0</v>
      </c>
      <c r="H14" s="26">
        <v>0</v>
      </c>
      <c r="I14" s="53"/>
      <c r="J14" s="46" t="e">
        <f t="shared" ca="1" si="0"/>
        <v>#DIV/0!</v>
      </c>
      <c r="K14" s="46" t="e">
        <f t="shared" ca="1" si="1"/>
        <v>#DIV/0!</v>
      </c>
      <c r="L14" s="46" t="e">
        <f t="shared" ca="1" si="2"/>
        <v>#DIV/0!</v>
      </c>
      <c r="M14" s="46" t="e">
        <f t="shared" ca="1" si="3"/>
        <v>#DIV/0!</v>
      </c>
      <c r="N14" s="46" t="e">
        <f t="shared" ca="1" si="4"/>
        <v>#DIV/0!</v>
      </c>
      <c r="O14" s="46" t="e">
        <f t="shared" ca="1" si="5"/>
        <v>#DIV/0!</v>
      </c>
      <c r="P14" s="46" t="e">
        <f t="shared" ca="1" si="6"/>
        <v>#DIV/0!</v>
      </c>
      <c r="Q14" s="46" t="e">
        <f t="shared" ca="1" si="7"/>
        <v>#DIV/0!</v>
      </c>
      <c r="R14" s="46" t="e">
        <f t="shared" ca="1" si="8"/>
        <v>#DIV/0!</v>
      </c>
      <c r="S14" t="s">
        <v>503</v>
      </c>
      <c r="T14">
        <v>5.5489078009072799</v>
      </c>
      <c r="U14">
        <v>0.88819076990722301</v>
      </c>
      <c r="V14">
        <v>5.3096925654526697</v>
      </c>
      <c r="W14">
        <v>0.902077960146075</v>
      </c>
      <c r="X14">
        <v>2.1468568252481899</v>
      </c>
      <c r="Y14">
        <v>8.4612111253032207</v>
      </c>
      <c r="Z14">
        <v>4.8774590513403089</v>
      </c>
      <c r="AA14">
        <v>22.592091985028699</v>
      </c>
      <c r="AB14">
        <v>8.4612111253032207</v>
      </c>
    </row>
    <row r="15" spans="1:28" ht="16" x14ac:dyDescent="0.2">
      <c r="A15" s="37" t="s">
        <v>76</v>
      </c>
      <c r="B15" s="42">
        <f>B6C3F1!H15</f>
        <v>0</v>
      </c>
      <c r="C15" s="27" t="e">
        <f ca="1">'BALB cByJ'!I14</f>
        <v>#DIV/0!</v>
      </c>
      <c r="D15" s="27" t="e">
        <f>CBA!I14</f>
        <v>#DIV/0!</v>
      </c>
      <c r="E15" s="27" t="e">
        <f>'C3H'!I14</f>
        <v>#DIV/0!</v>
      </c>
      <c r="F15" s="28" t="e">
        <f ca="1">'C57BL6J'!I14</f>
        <v>#DIV/0!</v>
      </c>
      <c r="G15" s="26">
        <v>0</v>
      </c>
      <c r="H15" s="26">
        <v>0</v>
      </c>
      <c r="I15" s="53"/>
      <c r="J15" s="46" t="e">
        <f t="shared" ca="1" si="0"/>
        <v>#DIV/0!</v>
      </c>
      <c r="K15" s="46" t="e">
        <f t="shared" ca="1" si="1"/>
        <v>#DIV/0!</v>
      </c>
      <c r="L15" s="46" t="e">
        <f t="shared" ca="1" si="2"/>
        <v>#DIV/0!</v>
      </c>
      <c r="M15" s="46" t="e">
        <f t="shared" ca="1" si="3"/>
        <v>#DIV/0!</v>
      </c>
      <c r="N15" s="46" t="e">
        <f t="shared" ca="1" si="4"/>
        <v>#DIV/0!</v>
      </c>
      <c r="O15" s="46" t="e">
        <f t="shared" ca="1" si="5"/>
        <v>#DIV/0!</v>
      </c>
      <c r="P15" s="46" t="e">
        <f t="shared" ca="1" si="6"/>
        <v>#DIV/0!</v>
      </c>
      <c r="Q15" s="46" t="e">
        <f t="shared" ca="1" si="7"/>
        <v>#DIV/0!</v>
      </c>
      <c r="R15" s="46" t="e">
        <f t="shared" ca="1" si="8"/>
        <v>#DIV/0!</v>
      </c>
      <c r="S15" t="s">
        <v>504</v>
      </c>
      <c r="T15">
        <v>5.5857589778162504</v>
      </c>
      <c r="U15">
        <v>0.88437859438123001</v>
      </c>
      <c r="V15">
        <v>6.0683044280957397</v>
      </c>
      <c r="W15">
        <v>0.875893729163569</v>
      </c>
      <c r="X15">
        <v>2.3337506264931598</v>
      </c>
      <c r="Y15">
        <v>9.52007897397025</v>
      </c>
      <c r="Z15">
        <v>4.4026523907843389</v>
      </c>
      <c r="AA15">
        <v>24.045980244816899</v>
      </c>
      <c r="AB15">
        <v>9.52007897397025</v>
      </c>
    </row>
    <row r="16" spans="1:28" ht="16" x14ac:dyDescent="0.2">
      <c r="A16" s="37" t="s">
        <v>26</v>
      </c>
      <c r="B16" s="42">
        <f>B6C3F1!H16</f>
        <v>0</v>
      </c>
      <c r="C16" s="27" t="e">
        <f ca="1">'BALB cByJ'!I15</f>
        <v>#DIV/0!</v>
      </c>
      <c r="D16" s="27" t="e">
        <f>CBA!I15</f>
        <v>#DIV/0!</v>
      </c>
      <c r="E16" s="27" t="e">
        <f>'C3H'!I15</f>
        <v>#DIV/0!</v>
      </c>
      <c r="F16" s="28" t="e">
        <f ca="1">'C57BL6J'!I15</f>
        <v>#DIV/0!</v>
      </c>
      <c r="G16" s="26">
        <v>0</v>
      </c>
      <c r="H16" s="26">
        <v>0</v>
      </c>
      <c r="I16" s="53"/>
      <c r="J16" s="46" t="e">
        <f t="shared" ca="1" si="0"/>
        <v>#DIV/0!</v>
      </c>
      <c r="K16" s="46" t="e">
        <f t="shared" ca="1" si="1"/>
        <v>#DIV/0!</v>
      </c>
      <c r="L16" s="46" t="e">
        <f t="shared" ca="1" si="2"/>
        <v>#DIV/0!</v>
      </c>
      <c r="M16" s="46" t="e">
        <f t="shared" ca="1" si="3"/>
        <v>#DIV/0!</v>
      </c>
      <c r="N16" s="46" t="e">
        <f t="shared" ca="1" si="4"/>
        <v>#DIV/0!</v>
      </c>
      <c r="O16" s="46" t="e">
        <f t="shared" ca="1" si="5"/>
        <v>#DIV/0!</v>
      </c>
      <c r="P16" s="46" t="e">
        <f t="shared" ca="1" si="6"/>
        <v>#DIV/0!</v>
      </c>
      <c r="Q16" s="46" t="e">
        <f t="shared" ca="1" si="7"/>
        <v>#DIV/0!</v>
      </c>
      <c r="R16" s="46" t="e">
        <f t="shared" ca="1" si="8"/>
        <v>#DIV/0!</v>
      </c>
      <c r="S16" t="s">
        <v>505</v>
      </c>
      <c r="T16">
        <v>5.7273693105038097</v>
      </c>
      <c r="U16">
        <v>0.91167249284813301</v>
      </c>
      <c r="V16">
        <v>6.2942191730993402</v>
      </c>
      <c r="W16">
        <v>0.90868826440936501</v>
      </c>
      <c r="X16">
        <v>2.25120318264787</v>
      </c>
      <c r="Y16">
        <v>10.441242318374099</v>
      </c>
      <c r="Z16">
        <v>5.3569471452045594</v>
      </c>
      <c r="AA16">
        <v>24.291689437645999</v>
      </c>
      <c r="AB16">
        <v>10.441242318374099</v>
      </c>
    </row>
    <row r="17" spans="1:28" ht="16" x14ac:dyDescent="0.2">
      <c r="A17" s="37" t="s">
        <v>78</v>
      </c>
      <c r="B17" s="42">
        <f>B6C3F1!H17</f>
        <v>1.625</v>
      </c>
      <c r="C17" s="27">
        <f ca="1">'BALB cByJ'!I16</f>
        <v>0.234375</v>
      </c>
      <c r="D17" s="27" t="e">
        <f>CBA!I16</f>
        <v>#DIV/0!</v>
      </c>
      <c r="E17" s="27" t="e">
        <f>'C3H'!I16</f>
        <v>#DIV/0!</v>
      </c>
      <c r="F17" s="28">
        <f ca="1">'C57BL6J'!I16</f>
        <v>0.25925925925925924</v>
      </c>
      <c r="G17" s="26">
        <v>0</v>
      </c>
      <c r="H17" s="26">
        <v>0</v>
      </c>
      <c r="I17" s="53"/>
      <c r="J17" s="46" t="e">
        <f t="shared" ca="1" si="0"/>
        <v>#DIV/0!</v>
      </c>
      <c r="K17" s="46" t="e">
        <f t="shared" ca="1" si="1"/>
        <v>#DIV/0!</v>
      </c>
      <c r="L17" s="46" t="e">
        <f t="shared" ca="1" si="2"/>
        <v>#DIV/0!</v>
      </c>
      <c r="M17" s="46" t="e">
        <f t="shared" ca="1" si="3"/>
        <v>#DIV/0!</v>
      </c>
      <c r="N17" s="46" t="e">
        <f t="shared" ca="1" si="4"/>
        <v>#DIV/0!</v>
      </c>
      <c r="O17" s="46" t="e">
        <f t="shared" ca="1" si="5"/>
        <v>#DIV/0!</v>
      </c>
      <c r="P17" s="46" t="e">
        <f t="shared" ca="1" si="6"/>
        <v>#DIV/0!</v>
      </c>
      <c r="Q17" s="46" t="e">
        <f t="shared" ca="1" si="7"/>
        <v>#DIV/0!</v>
      </c>
      <c r="R17" s="46" t="e">
        <f t="shared" ca="1" si="8"/>
        <v>#DIV/0!</v>
      </c>
      <c r="S17" t="s">
        <v>506</v>
      </c>
      <c r="T17">
        <v>5.1274601308188101</v>
      </c>
      <c r="U17">
        <v>0.88178370700077402</v>
      </c>
      <c r="V17">
        <v>5.8920583169312097</v>
      </c>
      <c r="W17">
        <v>0.89578155423572203</v>
      </c>
      <c r="X17">
        <v>2.6616121383218401</v>
      </c>
      <c r="Y17">
        <v>9.6199853710877896</v>
      </c>
      <c r="Z17">
        <v>3.8530935242032207</v>
      </c>
      <c r="AA17">
        <v>36.582014723009003</v>
      </c>
      <c r="AB17">
        <v>9.6199853710877896</v>
      </c>
    </row>
    <row r="18" spans="1:28" ht="16" x14ac:dyDescent="0.2">
      <c r="A18" s="37" t="s">
        <v>27</v>
      </c>
      <c r="B18" s="42">
        <f>B6C3F1!H18</f>
        <v>0.75</v>
      </c>
      <c r="C18" s="27">
        <f ca="1">'BALB cByJ'!I17</f>
        <v>0</v>
      </c>
      <c r="D18" s="27">
        <f>CBA!I17</f>
        <v>2.0499999999999998</v>
      </c>
      <c r="E18" s="27" t="e">
        <f>'C3H'!I17</f>
        <v>#DIV/0!</v>
      </c>
      <c r="F18" s="28">
        <f ca="1">'C57BL6J'!I17</f>
        <v>2.411111111111111</v>
      </c>
      <c r="G18" s="26">
        <v>0</v>
      </c>
      <c r="H18" s="26">
        <v>0</v>
      </c>
      <c r="I18" s="53"/>
      <c r="J18" s="46" t="e">
        <f t="shared" ca="1" si="0"/>
        <v>#DIV/0!</v>
      </c>
      <c r="K18" s="46" t="e">
        <f t="shared" ca="1" si="1"/>
        <v>#DIV/0!</v>
      </c>
      <c r="L18" s="46" t="e">
        <f t="shared" ca="1" si="2"/>
        <v>#DIV/0!</v>
      </c>
      <c r="M18" s="46" t="e">
        <f t="shared" ca="1" si="3"/>
        <v>#DIV/0!</v>
      </c>
      <c r="N18" s="46" t="e">
        <f t="shared" ca="1" si="4"/>
        <v>#DIV/0!</v>
      </c>
      <c r="O18" s="46" t="e">
        <f t="shared" ca="1" si="5"/>
        <v>#DIV/0!</v>
      </c>
      <c r="P18" s="46" t="e">
        <f t="shared" ca="1" si="6"/>
        <v>#DIV/0!</v>
      </c>
      <c r="Q18" s="46" t="e">
        <f t="shared" ca="1" si="7"/>
        <v>#DIV/0!</v>
      </c>
      <c r="R18" s="46" t="e">
        <f t="shared" ca="1" si="8"/>
        <v>#DIV/0!</v>
      </c>
    </row>
    <row r="19" spans="1:28" ht="16" x14ac:dyDescent="0.2">
      <c r="A19" s="37" t="s">
        <v>29</v>
      </c>
      <c r="B19" s="42">
        <f>B6C3F1!H19</f>
        <v>2.9312500000000004</v>
      </c>
      <c r="C19" s="27">
        <f ca="1">'BALB cByJ'!I18</f>
        <v>3</v>
      </c>
      <c r="D19" s="27">
        <f>CBA!I18</f>
        <v>4.833333333333333</v>
      </c>
      <c r="E19" s="27">
        <f>'C3H'!I18</f>
        <v>2.8460000000000001</v>
      </c>
      <c r="F19" s="28">
        <f ca="1">'C57BL6J'!I18</f>
        <v>6.7793103448275858</v>
      </c>
      <c r="G19" s="26">
        <v>0</v>
      </c>
      <c r="H19" s="26">
        <v>0</v>
      </c>
      <c r="I19" s="53"/>
      <c r="J19" s="46">
        <f t="shared" ca="1" si="0"/>
        <v>-0.44670647869115182</v>
      </c>
      <c r="K19" s="46">
        <f t="shared" ca="1" si="1"/>
        <v>-0.40519546550359603</v>
      </c>
      <c r="L19" s="46">
        <f t="shared" ca="1" si="2"/>
        <v>-0.2049306140687118</v>
      </c>
      <c r="M19" s="46">
        <f t="shared" ca="1" si="3"/>
        <v>-0.25301993068691775</v>
      </c>
      <c r="N19" s="46">
        <f t="shared" ca="1" si="4"/>
        <v>-0.25842333481605911</v>
      </c>
      <c r="O19" s="46">
        <f t="shared" ca="1" si="5"/>
        <v>-0.5036573988098787</v>
      </c>
      <c r="P19" s="46">
        <f t="shared" ca="1" si="6"/>
        <v>-0.48392605993973392</v>
      </c>
      <c r="Q19" s="46">
        <f t="shared" ca="1" si="7"/>
        <v>-0.43364914509104352</v>
      </c>
      <c r="R19" s="46">
        <f t="shared" ca="1" si="8"/>
        <v>-0.5036573988098787</v>
      </c>
    </row>
    <row r="20" spans="1:28" ht="16" x14ac:dyDescent="0.2">
      <c r="A20" s="37" t="s">
        <v>30</v>
      </c>
      <c r="B20" s="42">
        <f>B6C3F1!H20</f>
        <v>13.157894736842104</v>
      </c>
      <c r="C20" s="27">
        <f ca="1">'BALB cByJ'!I19</f>
        <v>2.5</v>
      </c>
      <c r="D20" s="27">
        <f>CBA!I19</f>
        <v>24.53</v>
      </c>
      <c r="E20" s="27">
        <f>'C3H'!I19</f>
        <v>24.412500000000001</v>
      </c>
      <c r="F20" s="28">
        <f ca="1">'C57BL6J'!I19</f>
        <v>2.2847222222222223</v>
      </c>
      <c r="G20" s="26">
        <v>0</v>
      </c>
      <c r="H20" s="26">
        <v>0</v>
      </c>
      <c r="I20" s="53"/>
      <c r="J20" s="46">
        <f t="shared" ca="1" si="0"/>
        <v>-7.6181205351634224E-2</v>
      </c>
      <c r="K20" s="46">
        <f t="shared" ca="1" si="1"/>
        <v>-0.53601846475064041</v>
      </c>
      <c r="L20" s="46">
        <f t="shared" ca="1" si="2"/>
        <v>0.66545127130690473</v>
      </c>
      <c r="M20" s="46">
        <f t="shared" ca="1" si="3"/>
        <v>-0.44589806136721949</v>
      </c>
      <c r="N20" s="46">
        <f t="shared" ca="1" si="4"/>
        <v>0.30125311243993891</v>
      </c>
      <c r="O20" s="46">
        <f t="shared" ca="1" si="5"/>
        <v>0.58841096348934341</v>
      </c>
      <c r="P20" s="46">
        <f t="shared" ca="1" si="6"/>
        <v>-0.16670594653590934</v>
      </c>
      <c r="Q20" s="46">
        <f t="shared" ca="1" si="7"/>
        <v>0.18136344927738662</v>
      </c>
      <c r="R20" s="46">
        <f t="shared" ca="1" si="8"/>
        <v>0.58841096348934341</v>
      </c>
    </row>
    <row r="21" spans="1:28" ht="16" x14ac:dyDescent="0.2">
      <c r="A21" s="37" t="s">
        <v>31</v>
      </c>
      <c r="B21" s="42">
        <f>B6C3F1!H21</f>
        <v>9.3000000000000007</v>
      </c>
      <c r="C21" s="27">
        <f ca="1">'BALB cByJ'!I20</f>
        <v>4.375</v>
      </c>
      <c r="D21" s="27">
        <f>CBA!I20</f>
        <v>5.5</v>
      </c>
      <c r="E21" s="27">
        <f>'C3H'!I20</f>
        <v>4.166666666666667</v>
      </c>
      <c r="F21" s="28">
        <f ca="1">'C57BL6J'!I20</f>
        <v>3.2857142857142856</v>
      </c>
      <c r="G21" s="26">
        <v>0</v>
      </c>
      <c r="H21" s="26">
        <v>0</v>
      </c>
      <c r="I21" s="53"/>
      <c r="J21" s="46">
        <f t="shared" ca="1" si="0"/>
        <v>-0.29364712011127853</v>
      </c>
      <c r="K21" s="46">
        <f t="shared" ca="1" si="1"/>
        <v>6.5891216973945593E-2</v>
      </c>
      <c r="L21" s="46">
        <f t="shared" ca="1" si="2"/>
        <v>-0.49480946134071119</v>
      </c>
      <c r="M21" s="46">
        <f t="shared" ca="1" si="3"/>
        <v>-0.48773355553949543</v>
      </c>
      <c r="N21" s="46">
        <f t="shared" ca="1" si="4"/>
        <v>0.94814711695248621</v>
      </c>
      <c r="O21" s="46">
        <f t="shared" ca="1" si="5"/>
        <v>-0.38202795098011522</v>
      </c>
      <c r="P21" s="46">
        <f t="shared" ca="1" si="6"/>
        <v>-0.19146730553894559</v>
      </c>
      <c r="Q21" s="46">
        <f t="shared" ca="1" si="7"/>
        <v>-0.5835778391385571</v>
      </c>
      <c r="R21" s="46">
        <f t="shared" ca="1" si="8"/>
        <v>-0.38202795098011522</v>
      </c>
    </row>
    <row r="22" spans="1:28" ht="16" x14ac:dyDescent="0.2">
      <c r="A22" s="37" t="s">
        <v>86</v>
      </c>
      <c r="B22" s="42">
        <f>B6C3F1!H22</f>
        <v>14</v>
      </c>
      <c r="C22" s="27" t="e">
        <f ca="1">'BALB cByJ'!I21</f>
        <v>#DIV/0!</v>
      </c>
      <c r="D22" s="27" t="e">
        <f>CBA!I21</f>
        <v>#DIV/0!</v>
      </c>
      <c r="E22" s="27" t="e">
        <f>'C3H'!I21</f>
        <v>#DIV/0!</v>
      </c>
      <c r="F22" s="28" t="e">
        <f ca="1">'C57BL6J'!I21</f>
        <v>#DIV/0!</v>
      </c>
      <c r="G22" s="26">
        <v>0</v>
      </c>
      <c r="H22" s="26">
        <v>0</v>
      </c>
      <c r="I22" s="53"/>
      <c r="J22" s="46" t="e">
        <f t="shared" ca="1" si="0"/>
        <v>#DIV/0!</v>
      </c>
      <c r="K22" s="46" t="e">
        <f t="shared" ca="1" si="1"/>
        <v>#DIV/0!</v>
      </c>
      <c r="L22" s="46" t="e">
        <f t="shared" ca="1" si="2"/>
        <v>#DIV/0!</v>
      </c>
      <c r="M22" s="46" t="e">
        <f t="shared" ca="1" si="3"/>
        <v>#DIV/0!</v>
      </c>
      <c r="N22" s="46" t="e">
        <f t="shared" ca="1" si="4"/>
        <v>#DIV/0!</v>
      </c>
      <c r="O22" s="46" t="e">
        <f t="shared" ca="1" si="5"/>
        <v>#DIV/0!</v>
      </c>
      <c r="P22" s="46" t="e">
        <f t="shared" ca="1" si="6"/>
        <v>#DIV/0!</v>
      </c>
      <c r="Q22" s="46" t="e">
        <f t="shared" ca="1" si="7"/>
        <v>#DIV/0!</v>
      </c>
      <c r="R22" s="46" t="e">
        <f t="shared" ca="1" si="8"/>
        <v>#DIV/0!</v>
      </c>
    </row>
    <row r="23" spans="1:28" ht="16" x14ac:dyDescent="0.2">
      <c r="A23" s="37" t="s">
        <v>32</v>
      </c>
      <c r="B23" s="42">
        <f>B6C3F1!H23</f>
        <v>1.4</v>
      </c>
      <c r="C23" s="27">
        <f ca="1">'BALB cByJ'!I22</f>
        <v>2.2916666666666665</v>
      </c>
      <c r="D23" s="27">
        <f>CBA!I22</f>
        <v>34.875</v>
      </c>
      <c r="E23" s="27">
        <f>'C3H'!I22</f>
        <v>67.099999999999994</v>
      </c>
      <c r="F23" s="28">
        <f ca="1">'C57BL6J'!I22</f>
        <v>0.7</v>
      </c>
      <c r="G23" s="26">
        <v>0</v>
      </c>
      <c r="H23" s="26">
        <v>0</v>
      </c>
      <c r="I23" s="53"/>
      <c r="J23" s="46">
        <f t="shared" ca="1" si="0"/>
        <v>8.3864256636199133E-2</v>
      </c>
      <c r="K23" s="46">
        <f t="shared" ca="1" si="1"/>
        <v>-0.51306457086096924</v>
      </c>
      <c r="L23" s="46">
        <f t="shared" ca="1" si="2"/>
        <v>0.86908765276862865</v>
      </c>
      <c r="M23" s="46">
        <f t="shared" ca="1" si="3"/>
        <v>-0.14339897903327278</v>
      </c>
      <c r="N23" s="46">
        <f t="shared" ca="1" si="4"/>
        <v>-0.15622032665207097</v>
      </c>
      <c r="O23" s="46">
        <f t="shared" ca="1" si="5"/>
        <v>0.88514610120588977</v>
      </c>
      <c r="P23" s="46">
        <f t="shared" ca="1" si="6"/>
        <v>0.23750324513117541</v>
      </c>
      <c r="Q23" s="46">
        <f t="shared" ca="1" si="7"/>
        <v>0.6339354024410726</v>
      </c>
      <c r="R23" s="46">
        <f t="shared" ca="1" si="8"/>
        <v>0.88514610120588977</v>
      </c>
    </row>
    <row r="24" spans="1:28" ht="16" x14ac:dyDescent="0.2">
      <c r="A24" s="37" t="s">
        <v>133</v>
      </c>
      <c r="B24" s="42">
        <f>B6C3F1!H24</f>
        <v>1.2809523809523811</v>
      </c>
      <c r="C24" s="27" t="e">
        <f ca="1">'BALB cByJ'!I23</f>
        <v>#DIV/0!</v>
      </c>
      <c r="D24" s="27">
        <f>CBA!I23</f>
        <v>1.75</v>
      </c>
      <c r="E24" s="27">
        <f>'C3H'!I23</f>
        <v>1.25</v>
      </c>
      <c r="F24" s="28">
        <f ca="1">'C57BL6J'!I23</f>
        <v>1.8545454545454545</v>
      </c>
      <c r="G24" s="26">
        <v>0</v>
      </c>
      <c r="H24" s="26">
        <v>0</v>
      </c>
      <c r="I24" s="53"/>
      <c r="J24" s="46" t="e">
        <f t="shared" ca="1" si="0"/>
        <v>#DIV/0!</v>
      </c>
      <c r="K24" s="46" t="e">
        <f t="shared" ca="1" si="1"/>
        <v>#DIV/0!</v>
      </c>
      <c r="L24" s="46" t="e">
        <f t="shared" ca="1" si="2"/>
        <v>#DIV/0!</v>
      </c>
      <c r="M24" s="46" t="e">
        <f t="shared" ca="1" si="3"/>
        <v>#DIV/0!</v>
      </c>
      <c r="N24" s="46" t="e">
        <f t="shared" ca="1" si="4"/>
        <v>#DIV/0!</v>
      </c>
      <c r="O24" s="46" t="e">
        <f t="shared" ca="1" si="5"/>
        <v>#DIV/0!</v>
      </c>
      <c r="P24" s="46" t="e">
        <f t="shared" ca="1" si="6"/>
        <v>#DIV/0!</v>
      </c>
      <c r="Q24" s="46" t="e">
        <f t="shared" ca="1" si="7"/>
        <v>#DIV/0!</v>
      </c>
      <c r="R24" s="46" t="e">
        <f t="shared" ca="1" si="8"/>
        <v>#DIV/0!</v>
      </c>
    </row>
    <row r="25" spans="1:28" ht="16" x14ac:dyDescent="0.2">
      <c r="A25" s="37" t="s">
        <v>91</v>
      </c>
      <c r="B25" s="42">
        <f>B6C3F1!H25</f>
        <v>0.27500000000000002</v>
      </c>
      <c r="C25" s="27" t="e">
        <f ca="1">'BALB cByJ'!I24</f>
        <v>#DIV/0!</v>
      </c>
      <c r="D25" s="27" t="e">
        <f>CBA!I24</f>
        <v>#DIV/0!</v>
      </c>
      <c r="E25" s="27" t="e">
        <f>'C3H'!I24</f>
        <v>#DIV/0!</v>
      </c>
      <c r="F25" s="28" t="e">
        <f ca="1">'C57BL6J'!I24</f>
        <v>#DIV/0!</v>
      </c>
      <c r="G25" s="26">
        <v>0</v>
      </c>
      <c r="H25" s="26">
        <v>0</v>
      </c>
      <c r="I25" s="53"/>
      <c r="J25" s="46" t="e">
        <f t="shared" ca="1" si="0"/>
        <v>#DIV/0!</v>
      </c>
      <c r="K25" s="46" t="e">
        <f t="shared" ca="1" si="1"/>
        <v>#DIV/0!</v>
      </c>
      <c r="L25" s="46" t="e">
        <f t="shared" ca="1" si="2"/>
        <v>#DIV/0!</v>
      </c>
      <c r="M25" s="46" t="e">
        <f t="shared" ca="1" si="3"/>
        <v>#DIV/0!</v>
      </c>
      <c r="N25" s="46" t="e">
        <f t="shared" ca="1" si="4"/>
        <v>#DIV/0!</v>
      </c>
      <c r="O25" s="46" t="e">
        <f t="shared" ca="1" si="5"/>
        <v>#DIV/0!</v>
      </c>
      <c r="P25" s="46" t="e">
        <f t="shared" ca="1" si="6"/>
        <v>#DIV/0!</v>
      </c>
      <c r="Q25" s="46" t="e">
        <f t="shared" ca="1" si="7"/>
        <v>#DIV/0!</v>
      </c>
      <c r="R25" s="46" t="e">
        <f t="shared" ca="1" si="8"/>
        <v>#DIV/0!</v>
      </c>
    </row>
    <row r="26" spans="1:28" ht="16" x14ac:dyDescent="0.2">
      <c r="A26" s="37" t="s">
        <v>134</v>
      </c>
      <c r="B26" s="42">
        <f>B6C3F1!H26</f>
        <v>0.86363636363636365</v>
      </c>
      <c r="C26" s="27">
        <f ca="1">'BALB cByJ'!I25</f>
        <v>2.1</v>
      </c>
      <c r="D26" s="27" t="e">
        <f>CBA!I25</f>
        <v>#DIV/0!</v>
      </c>
      <c r="E26" s="27" t="e">
        <f>'C3H'!I25</f>
        <v>#DIV/0!</v>
      </c>
      <c r="F26" s="28">
        <f ca="1">'C57BL6J'!I25</f>
        <v>0.9285714285714286</v>
      </c>
      <c r="G26" s="26">
        <v>0</v>
      </c>
      <c r="H26" s="26">
        <v>0</v>
      </c>
      <c r="I26" s="53"/>
      <c r="J26" s="46" t="e">
        <f t="shared" ca="1" si="0"/>
        <v>#DIV/0!</v>
      </c>
      <c r="K26" s="46" t="e">
        <f t="shared" ca="1" si="1"/>
        <v>#DIV/0!</v>
      </c>
      <c r="L26" s="46" t="e">
        <f t="shared" ca="1" si="2"/>
        <v>#DIV/0!</v>
      </c>
      <c r="M26" s="46" t="e">
        <f t="shared" ca="1" si="3"/>
        <v>#DIV/0!</v>
      </c>
      <c r="N26" s="46" t="e">
        <f t="shared" ca="1" si="4"/>
        <v>#DIV/0!</v>
      </c>
      <c r="O26" s="46" t="e">
        <f t="shared" ca="1" si="5"/>
        <v>#DIV/0!</v>
      </c>
      <c r="P26" s="46" t="e">
        <f t="shared" ca="1" si="6"/>
        <v>#DIV/0!</v>
      </c>
      <c r="Q26" s="46" t="e">
        <f t="shared" ca="1" si="7"/>
        <v>#DIV/0!</v>
      </c>
      <c r="R26" s="46" t="e">
        <f t="shared" ca="1" si="8"/>
        <v>#DIV/0!</v>
      </c>
    </row>
    <row r="27" spans="1:28" ht="16" x14ac:dyDescent="0.2">
      <c r="A27" s="37" t="s">
        <v>96</v>
      </c>
      <c r="B27" s="42">
        <f>B6C3F1!H27</f>
        <v>1</v>
      </c>
      <c r="C27" s="27">
        <f ca="1">'BALB cByJ'!I26</f>
        <v>2.5</v>
      </c>
      <c r="D27" s="27" t="e">
        <f>CBA!I26</f>
        <v>#DIV/0!</v>
      </c>
      <c r="E27" s="27" t="e">
        <f>'C3H'!I26</f>
        <v>#DIV/0!</v>
      </c>
      <c r="F27" s="28" t="e">
        <f ca="1">'C57BL6J'!I26</f>
        <v>#DIV/0!</v>
      </c>
      <c r="G27" s="26">
        <v>0</v>
      </c>
      <c r="H27" s="26">
        <v>0</v>
      </c>
      <c r="I27" s="53"/>
      <c r="J27" s="46" t="e">
        <f t="shared" ca="1" si="0"/>
        <v>#DIV/0!</v>
      </c>
      <c r="K27" s="46" t="e">
        <f t="shared" ca="1" si="1"/>
        <v>#DIV/0!</v>
      </c>
      <c r="L27" s="46" t="e">
        <f t="shared" ca="1" si="2"/>
        <v>#DIV/0!</v>
      </c>
      <c r="M27" s="46" t="e">
        <f t="shared" ca="1" si="3"/>
        <v>#DIV/0!</v>
      </c>
      <c r="N27" s="46" t="e">
        <f t="shared" ca="1" si="4"/>
        <v>#DIV/0!</v>
      </c>
      <c r="O27" s="46" t="e">
        <f t="shared" ca="1" si="5"/>
        <v>#DIV/0!</v>
      </c>
      <c r="P27" s="46" t="e">
        <f t="shared" ca="1" si="6"/>
        <v>#DIV/0!</v>
      </c>
      <c r="Q27" s="46" t="e">
        <f t="shared" ca="1" si="7"/>
        <v>#DIV/0!</v>
      </c>
      <c r="R27" s="46" t="e">
        <f t="shared" ca="1" si="8"/>
        <v>#DIV/0!</v>
      </c>
    </row>
    <row r="28" spans="1:28" ht="16" x14ac:dyDescent="0.2">
      <c r="A28" s="37" t="s">
        <v>135</v>
      </c>
      <c r="B28" s="42">
        <f>B6C3F1!H28</f>
        <v>1</v>
      </c>
      <c r="C28" s="27" t="e">
        <f ca="1">'BALB cByJ'!I27</f>
        <v>#DIV/0!</v>
      </c>
      <c r="D28" s="27" t="e">
        <f>CBA!I27</f>
        <v>#DIV/0!</v>
      </c>
      <c r="E28" s="27" t="e">
        <f>'C3H'!I27</f>
        <v>#DIV/0!</v>
      </c>
      <c r="F28" s="28" t="e">
        <f ca="1">'C57BL6J'!I27</f>
        <v>#DIV/0!</v>
      </c>
      <c r="G28" s="26">
        <v>0</v>
      </c>
      <c r="H28" s="26">
        <v>0</v>
      </c>
      <c r="I28" s="53"/>
      <c r="J28" s="46" t="e">
        <f t="shared" ca="1" si="0"/>
        <v>#DIV/0!</v>
      </c>
      <c r="K28" s="46" t="e">
        <f t="shared" ca="1" si="1"/>
        <v>#DIV/0!</v>
      </c>
      <c r="L28" s="46" t="e">
        <f t="shared" ca="1" si="2"/>
        <v>#DIV/0!</v>
      </c>
      <c r="M28" s="46" t="e">
        <f t="shared" ca="1" si="3"/>
        <v>#DIV/0!</v>
      </c>
      <c r="N28" s="46" t="e">
        <f t="shared" ca="1" si="4"/>
        <v>#DIV/0!</v>
      </c>
      <c r="O28" s="46" t="e">
        <f t="shared" ca="1" si="5"/>
        <v>#DIV/0!</v>
      </c>
      <c r="P28" s="46" t="e">
        <f t="shared" ca="1" si="6"/>
        <v>#DIV/0!</v>
      </c>
      <c r="Q28" s="46" t="e">
        <f t="shared" ca="1" si="7"/>
        <v>#DIV/0!</v>
      </c>
      <c r="R28" s="46" t="e">
        <f t="shared" ca="1" si="8"/>
        <v>#DIV/0!</v>
      </c>
    </row>
    <row r="29" spans="1:28" ht="16" x14ac:dyDescent="0.2">
      <c r="A29" s="37" t="s">
        <v>56</v>
      </c>
      <c r="B29" s="42">
        <f>B6C3F1!H29</f>
        <v>1.1533333333333333</v>
      </c>
      <c r="C29" s="27">
        <f ca="1">'BALB cByJ'!I28</f>
        <v>14.5</v>
      </c>
      <c r="D29" s="27">
        <f>CBA!I28</f>
        <v>1.788888888888889</v>
      </c>
      <c r="E29" s="27">
        <f>'C3H'!I28</f>
        <v>10.75</v>
      </c>
      <c r="F29" s="28">
        <f ca="1">'C57BL6J'!I28</f>
        <v>2.0357142857142856</v>
      </c>
      <c r="G29" s="26">
        <v>0</v>
      </c>
      <c r="H29" s="26">
        <v>0</v>
      </c>
      <c r="I29" s="53"/>
      <c r="J29" s="46">
        <f t="shared" ca="1" si="0"/>
        <v>0.80286532775317143</v>
      </c>
      <c r="K29" s="46">
        <f t="shared" ca="1" si="1"/>
        <v>0.57983095668826934</v>
      </c>
      <c r="L29" s="46">
        <f t="shared" ca="1" si="2"/>
        <v>0.46099651274177872</v>
      </c>
      <c r="M29" s="46">
        <f t="shared" ca="1" si="3"/>
        <v>0.85755230756607737</v>
      </c>
      <c r="N29" s="46">
        <f t="shared" ca="1" si="4"/>
        <v>-0.65091540671864745</v>
      </c>
      <c r="O29" s="46">
        <f t="shared" ca="1" si="5"/>
        <v>0.6658675414955334</v>
      </c>
      <c r="P29" s="46">
        <f t="shared" ca="1" si="6"/>
        <v>0.64532698010238176</v>
      </c>
      <c r="Q29" s="46">
        <f t="shared" ca="1" si="7"/>
        <v>0.88048038095471293</v>
      </c>
      <c r="R29" s="46">
        <f t="shared" ca="1" si="8"/>
        <v>0.6658675414955334</v>
      </c>
    </row>
    <row r="30" spans="1:28" ht="16" x14ac:dyDescent="0.2">
      <c r="A30" s="37" t="s">
        <v>45</v>
      </c>
      <c r="B30" s="42">
        <f>B6C3F1!H30</f>
        <v>1.6666666666666667</v>
      </c>
      <c r="C30" s="27">
        <f ca="1">'BALB cByJ'!I29</f>
        <v>1.875</v>
      </c>
      <c r="D30" s="27">
        <f>CBA!I29</f>
        <v>15.25</v>
      </c>
      <c r="E30" s="27" t="e">
        <f>'C3H'!I29</f>
        <v>#DIV/0!</v>
      </c>
      <c r="F30" s="28">
        <f ca="1">'C57BL6J'!I29</f>
        <v>0.625</v>
      </c>
      <c r="G30" s="26">
        <v>0</v>
      </c>
      <c r="H30" s="26">
        <v>0</v>
      </c>
      <c r="I30" s="53"/>
      <c r="J30" s="46" t="e">
        <f t="shared" ca="1" si="0"/>
        <v>#DIV/0!</v>
      </c>
      <c r="K30" s="46" t="e">
        <f t="shared" ca="1" si="1"/>
        <v>#DIV/0!</v>
      </c>
      <c r="L30" s="46" t="e">
        <f t="shared" ca="1" si="2"/>
        <v>#DIV/0!</v>
      </c>
      <c r="M30" s="46" t="e">
        <f t="shared" ca="1" si="3"/>
        <v>#DIV/0!</v>
      </c>
      <c r="N30" s="46" t="e">
        <f t="shared" ca="1" si="4"/>
        <v>#DIV/0!</v>
      </c>
      <c r="O30" s="46" t="e">
        <f t="shared" ca="1" si="5"/>
        <v>#DIV/0!</v>
      </c>
      <c r="P30" s="46" t="e">
        <f t="shared" ca="1" si="6"/>
        <v>#DIV/0!</v>
      </c>
      <c r="Q30" s="46" t="e">
        <f t="shared" ca="1" si="7"/>
        <v>#DIV/0!</v>
      </c>
      <c r="R30" s="46" t="e">
        <f t="shared" ca="1" si="8"/>
        <v>#DIV/0!</v>
      </c>
    </row>
    <row r="31" spans="1:28" ht="16" x14ac:dyDescent="0.2">
      <c r="A31" s="37" t="s">
        <v>103</v>
      </c>
      <c r="B31" s="42">
        <f>B6C3F1!H31</f>
        <v>1</v>
      </c>
      <c r="C31" s="27" t="e">
        <f ca="1">'BALB cByJ'!I30</f>
        <v>#DIV/0!</v>
      </c>
      <c r="D31" s="27" t="e">
        <f>CBA!I30</f>
        <v>#DIV/0!</v>
      </c>
      <c r="E31" s="27" t="e">
        <f>'C3H'!I30</f>
        <v>#DIV/0!</v>
      </c>
      <c r="F31" s="28" t="e">
        <f ca="1">'C57BL6J'!I30</f>
        <v>#DIV/0!</v>
      </c>
      <c r="G31" s="26">
        <v>0</v>
      </c>
      <c r="H31" s="26">
        <v>0</v>
      </c>
      <c r="I31" s="53"/>
      <c r="J31" s="46" t="e">
        <f t="shared" ca="1" si="0"/>
        <v>#DIV/0!</v>
      </c>
      <c r="K31" s="46" t="e">
        <f t="shared" ca="1" si="1"/>
        <v>#DIV/0!</v>
      </c>
      <c r="L31" s="46" t="e">
        <f t="shared" ca="1" si="2"/>
        <v>#DIV/0!</v>
      </c>
      <c r="M31" s="46" t="e">
        <f t="shared" ca="1" si="3"/>
        <v>#DIV/0!</v>
      </c>
      <c r="N31" s="46" t="e">
        <f t="shared" ca="1" si="4"/>
        <v>#DIV/0!</v>
      </c>
      <c r="O31" s="46" t="e">
        <f t="shared" ca="1" si="5"/>
        <v>#DIV/0!</v>
      </c>
      <c r="P31" s="46" t="e">
        <f t="shared" ca="1" si="6"/>
        <v>#DIV/0!</v>
      </c>
      <c r="Q31" s="46" t="e">
        <f t="shared" ca="1" si="7"/>
        <v>#DIV/0!</v>
      </c>
      <c r="R31" s="46" t="e">
        <f t="shared" ca="1" si="8"/>
        <v>#DIV/0!</v>
      </c>
    </row>
    <row r="32" spans="1:28" ht="16" x14ac:dyDescent="0.2">
      <c r="A32" s="37" t="s">
        <v>107</v>
      </c>
      <c r="B32" s="42">
        <f>B6C3F1!H32</f>
        <v>8.6</v>
      </c>
      <c r="C32" s="27" t="e">
        <f ca="1">'BALB cByJ'!I31</f>
        <v>#DIV/0!</v>
      </c>
      <c r="D32" s="27">
        <f>CBA!I31</f>
        <v>0</v>
      </c>
      <c r="E32" s="27" t="e">
        <f>'C3H'!I31</f>
        <v>#DIV/0!</v>
      </c>
      <c r="F32" s="28">
        <f ca="1">'C57BL6J'!I31</f>
        <v>7.8392857142857144</v>
      </c>
      <c r="G32" s="26">
        <v>0</v>
      </c>
      <c r="H32" s="26">
        <v>0</v>
      </c>
      <c r="I32" s="53"/>
      <c r="J32" s="46" t="e">
        <f t="shared" ca="1" si="0"/>
        <v>#DIV/0!</v>
      </c>
      <c r="K32" s="46" t="e">
        <f t="shared" ca="1" si="1"/>
        <v>#DIV/0!</v>
      </c>
      <c r="L32" s="46" t="e">
        <f t="shared" ca="1" si="2"/>
        <v>#DIV/0!</v>
      </c>
      <c r="M32" s="46" t="e">
        <f t="shared" ca="1" si="3"/>
        <v>#DIV/0!</v>
      </c>
      <c r="N32" s="46" t="e">
        <f t="shared" ca="1" si="4"/>
        <v>#DIV/0!</v>
      </c>
      <c r="O32" s="46" t="e">
        <f t="shared" ca="1" si="5"/>
        <v>#DIV/0!</v>
      </c>
      <c r="P32" s="46" t="e">
        <f t="shared" ca="1" si="6"/>
        <v>#DIV/0!</v>
      </c>
      <c r="Q32" s="46" t="e">
        <f t="shared" ca="1" si="7"/>
        <v>#DIV/0!</v>
      </c>
      <c r="R32" s="46" t="e">
        <f t="shared" ca="1" si="8"/>
        <v>#DIV/0!</v>
      </c>
    </row>
    <row r="33" spans="1:18" ht="16" x14ac:dyDescent="0.2">
      <c r="A33" s="37" t="s">
        <v>108</v>
      </c>
      <c r="B33" s="42">
        <f>B6C3F1!H33</f>
        <v>1</v>
      </c>
      <c r="C33" s="27" t="e">
        <f ca="1">'BALB cByJ'!I32</f>
        <v>#DIV/0!</v>
      </c>
      <c r="D33" s="27" t="e">
        <f>CBA!I32</f>
        <v>#DIV/0!</v>
      </c>
      <c r="E33" s="27" t="e">
        <f>'C3H'!I32</f>
        <v>#DIV/0!</v>
      </c>
      <c r="F33" s="28" t="e">
        <f ca="1">'C57BL6J'!I32</f>
        <v>#DIV/0!</v>
      </c>
      <c r="G33" s="26">
        <v>0</v>
      </c>
      <c r="H33" s="26">
        <v>0</v>
      </c>
      <c r="I33" s="53"/>
      <c r="J33" s="46" t="e">
        <f t="shared" ca="1" si="0"/>
        <v>#DIV/0!</v>
      </c>
      <c r="K33" s="46" t="e">
        <f t="shared" ca="1" si="1"/>
        <v>#DIV/0!</v>
      </c>
      <c r="L33" s="46" t="e">
        <f t="shared" ca="1" si="2"/>
        <v>#DIV/0!</v>
      </c>
      <c r="M33" s="46" t="e">
        <f t="shared" ca="1" si="3"/>
        <v>#DIV/0!</v>
      </c>
      <c r="N33" s="46" t="e">
        <f t="shared" ca="1" si="4"/>
        <v>#DIV/0!</v>
      </c>
      <c r="O33" s="46" t="e">
        <f t="shared" ca="1" si="5"/>
        <v>#DIV/0!</v>
      </c>
      <c r="P33" s="46" t="e">
        <f t="shared" ca="1" si="6"/>
        <v>#DIV/0!</v>
      </c>
      <c r="Q33" s="46" t="e">
        <f t="shared" ca="1" si="7"/>
        <v>#DIV/0!</v>
      </c>
      <c r="R33" s="46" t="e">
        <f t="shared" ca="1" si="8"/>
        <v>#DIV/0!</v>
      </c>
    </row>
    <row r="34" spans="1:18" ht="16" x14ac:dyDescent="0.2">
      <c r="A34" s="37" t="s">
        <v>101</v>
      </c>
      <c r="B34" s="42">
        <f>B6C3F1!H34</f>
        <v>1.03</v>
      </c>
      <c r="C34" s="27" t="e">
        <f ca="1">'BALB cByJ'!I33</f>
        <v>#DIV/0!</v>
      </c>
      <c r="D34" s="27" t="e">
        <f>CBA!I33</f>
        <v>#DIV/0!</v>
      </c>
      <c r="E34" s="27">
        <f>'C3H'!I33</f>
        <v>2.5</v>
      </c>
      <c r="F34" s="28" t="e">
        <f ca="1">'C57BL6J'!I33</f>
        <v>#DIV/0!</v>
      </c>
      <c r="G34" s="26">
        <v>0</v>
      </c>
      <c r="H34" s="26">
        <v>0</v>
      </c>
      <c r="I34" s="53"/>
      <c r="J34" s="46" t="e">
        <f t="shared" ca="1" si="0"/>
        <v>#DIV/0!</v>
      </c>
      <c r="K34" s="46" t="e">
        <f t="shared" ca="1" si="1"/>
        <v>#DIV/0!</v>
      </c>
      <c r="L34" s="46" t="e">
        <f t="shared" ca="1" si="2"/>
        <v>#DIV/0!</v>
      </c>
      <c r="M34" s="46" t="e">
        <f t="shared" ca="1" si="3"/>
        <v>#DIV/0!</v>
      </c>
      <c r="N34" s="46" t="e">
        <f t="shared" ca="1" si="4"/>
        <v>#DIV/0!</v>
      </c>
      <c r="O34" s="46" t="e">
        <f t="shared" ca="1" si="5"/>
        <v>#DIV/0!</v>
      </c>
      <c r="P34" s="46" t="e">
        <f t="shared" ca="1" si="6"/>
        <v>#DIV/0!</v>
      </c>
      <c r="Q34" s="46" t="e">
        <f t="shared" ca="1" si="7"/>
        <v>#DIV/0!</v>
      </c>
      <c r="R34" s="46" t="e">
        <f t="shared" ca="1" si="8"/>
        <v>#DIV/0!</v>
      </c>
    </row>
    <row r="35" spans="1:18" ht="16" x14ac:dyDescent="0.2">
      <c r="A35" s="37" t="s">
        <v>34</v>
      </c>
      <c r="B35" s="42">
        <f>B6C3F1!H35</f>
        <v>0.27500000000000002</v>
      </c>
      <c r="C35" s="27" t="e">
        <f ca="1">'BALB cByJ'!I34</f>
        <v>#DIV/0!</v>
      </c>
      <c r="D35" s="27" t="e">
        <f>CBA!I34</f>
        <v>#DIV/0!</v>
      </c>
      <c r="E35" s="27" t="e">
        <f>'C3H'!I34</f>
        <v>#DIV/0!</v>
      </c>
      <c r="F35" s="28" t="e">
        <f ca="1">'C57BL6J'!I34</f>
        <v>#DIV/0!</v>
      </c>
      <c r="G35" s="26">
        <v>0</v>
      </c>
      <c r="H35" s="26">
        <v>0</v>
      </c>
      <c r="I35" s="53"/>
      <c r="J35" s="46" t="e">
        <f t="shared" ca="1" si="0"/>
        <v>#DIV/0!</v>
      </c>
      <c r="K35" s="46" t="e">
        <f t="shared" ca="1" si="1"/>
        <v>#DIV/0!</v>
      </c>
      <c r="L35" s="46" t="e">
        <f t="shared" ca="1" si="2"/>
        <v>#DIV/0!</v>
      </c>
      <c r="M35" s="46" t="e">
        <f t="shared" ca="1" si="3"/>
        <v>#DIV/0!</v>
      </c>
      <c r="N35" s="46" t="e">
        <f t="shared" ca="1" si="4"/>
        <v>#DIV/0!</v>
      </c>
      <c r="O35" s="46" t="e">
        <f t="shared" ca="1" si="5"/>
        <v>#DIV/0!</v>
      </c>
      <c r="P35" s="46" t="e">
        <f t="shared" ca="1" si="6"/>
        <v>#DIV/0!</v>
      </c>
      <c r="Q35" s="46" t="e">
        <f t="shared" ca="1" si="7"/>
        <v>#DIV/0!</v>
      </c>
      <c r="R35" s="46" t="e">
        <f t="shared" ca="1" si="8"/>
        <v>#DIV/0!</v>
      </c>
    </row>
    <row r="36" spans="1:18" ht="16" x14ac:dyDescent="0.2">
      <c r="A36" s="37" t="s">
        <v>110</v>
      </c>
      <c r="B36" s="42">
        <f>B6C3F1!H36</f>
        <v>0</v>
      </c>
      <c r="C36" s="27" t="e">
        <f ca="1">'BALB cByJ'!I35</f>
        <v>#DIV/0!</v>
      </c>
      <c r="D36" s="27" t="e">
        <f>CBA!I35</f>
        <v>#DIV/0!</v>
      </c>
      <c r="E36" s="27" t="e">
        <f>'C3H'!I35</f>
        <v>#DIV/0!</v>
      </c>
      <c r="F36" s="28" t="e">
        <f ca="1">'C57BL6J'!I35</f>
        <v>#DIV/0!</v>
      </c>
      <c r="G36" s="26">
        <v>0</v>
      </c>
      <c r="H36" s="26">
        <v>0</v>
      </c>
      <c r="I36" s="53"/>
      <c r="J36" s="46" t="e">
        <f t="shared" ca="1" si="0"/>
        <v>#DIV/0!</v>
      </c>
      <c r="K36" s="46" t="e">
        <f t="shared" ca="1" si="1"/>
        <v>#DIV/0!</v>
      </c>
      <c r="L36" s="46" t="e">
        <f t="shared" ca="1" si="2"/>
        <v>#DIV/0!</v>
      </c>
      <c r="M36" s="46" t="e">
        <f t="shared" ca="1" si="3"/>
        <v>#DIV/0!</v>
      </c>
      <c r="N36" s="46" t="e">
        <f t="shared" ca="1" si="4"/>
        <v>#DIV/0!</v>
      </c>
      <c r="O36" s="46" t="e">
        <f t="shared" ca="1" si="5"/>
        <v>#DIV/0!</v>
      </c>
      <c r="P36" s="46" t="e">
        <f t="shared" ca="1" si="6"/>
        <v>#DIV/0!</v>
      </c>
      <c r="Q36" s="46" t="e">
        <f t="shared" ca="1" si="7"/>
        <v>#DIV/0!</v>
      </c>
      <c r="R36" s="46" t="e">
        <f t="shared" ca="1" si="8"/>
        <v>#DIV/0!</v>
      </c>
    </row>
    <row r="37" spans="1:18" ht="16" x14ac:dyDescent="0.2">
      <c r="A37" s="37" t="s">
        <v>112</v>
      </c>
      <c r="B37" s="42">
        <f>B6C3F1!H37</f>
        <v>1</v>
      </c>
      <c r="C37" s="27" t="e">
        <f ca="1">'BALB cByJ'!I36</f>
        <v>#DIV/0!</v>
      </c>
      <c r="D37" s="27" t="e">
        <f>CBA!I36</f>
        <v>#DIV/0!</v>
      </c>
      <c r="E37" s="27" t="e">
        <f>'C3H'!I36</f>
        <v>#DIV/0!</v>
      </c>
      <c r="F37" s="28" t="e">
        <f ca="1">'C57BL6J'!I36</f>
        <v>#DIV/0!</v>
      </c>
      <c r="G37" s="26">
        <v>0</v>
      </c>
      <c r="H37" s="26">
        <v>0</v>
      </c>
      <c r="I37" s="53"/>
      <c r="J37" s="46" t="e">
        <f t="shared" ca="1" si="0"/>
        <v>#DIV/0!</v>
      </c>
      <c r="K37" s="46" t="e">
        <f t="shared" ca="1" si="1"/>
        <v>#DIV/0!</v>
      </c>
      <c r="L37" s="46" t="e">
        <f t="shared" ca="1" si="2"/>
        <v>#DIV/0!</v>
      </c>
      <c r="M37" s="46" t="e">
        <f t="shared" ca="1" si="3"/>
        <v>#DIV/0!</v>
      </c>
      <c r="N37" s="46" t="e">
        <f t="shared" ca="1" si="4"/>
        <v>#DIV/0!</v>
      </c>
      <c r="O37" s="46" t="e">
        <f t="shared" ca="1" si="5"/>
        <v>#DIV/0!</v>
      </c>
      <c r="P37" s="46" t="e">
        <f t="shared" ca="1" si="6"/>
        <v>#DIV/0!</v>
      </c>
      <c r="Q37" s="46" t="e">
        <f t="shared" ca="1" si="7"/>
        <v>#DIV/0!</v>
      </c>
      <c r="R37" s="46" t="e">
        <f t="shared" ca="1" si="8"/>
        <v>#DIV/0!</v>
      </c>
    </row>
    <row r="38" spans="1:18" ht="16" x14ac:dyDescent="0.2">
      <c r="A38" s="37" t="s">
        <v>37</v>
      </c>
      <c r="B38" s="42">
        <f>B6C3F1!H38</f>
        <v>0.91500000000000004</v>
      </c>
      <c r="C38" s="27">
        <f ca="1">'BALB cByJ'!I37</f>
        <v>0.3125</v>
      </c>
      <c r="D38" s="27">
        <f>CBA!I37</f>
        <v>0</v>
      </c>
      <c r="E38" s="27" t="e">
        <f>'C3H'!I37</f>
        <v>#DIV/0!</v>
      </c>
      <c r="F38" s="28">
        <f ca="1">'C57BL6J'!I37</f>
        <v>1.5333333333333334</v>
      </c>
      <c r="G38" s="26">
        <v>0</v>
      </c>
      <c r="H38" s="26">
        <v>0</v>
      </c>
      <c r="I38" s="53"/>
      <c r="J38" s="46" t="e">
        <f t="shared" ca="1" si="0"/>
        <v>#DIV/0!</v>
      </c>
      <c r="K38" s="46" t="e">
        <f t="shared" ca="1" si="1"/>
        <v>#DIV/0!</v>
      </c>
      <c r="L38" s="46" t="e">
        <f t="shared" ca="1" si="2"/>
        <v>#DIV/0!</v>
      </c>
      <c r="M38" s="46" t="e">
        <f t="shared" ca="1" si="3"/>
        <v>#DIV/0!</v>
      </c>
      <c r="N38" s="46" t="e">
        <f t="shared" ca="1" si="4"/>
        <v>#DIV/0!</v>
      </c>
      <c r="O38" s="46" t="e">
        <f t="shared" ca="1" si="5"/>
        <v>#DIV/0!</v>
      </c>
      <c r="P38" s="46" t="e">
        <f t="shared" ca="1" si="6"/>
        <v>#DIV/0!</v>
      </c>
      <c r="Q38" s="46" t="e">
        <f t="shared" ca="1" si="7"/>
        <v>#DIV/0!</v>
      </c>
      <c r="R38" s="46" t="e">
        <f t="shared" ca="1" si="8"/>
        <v>#DIV/0!</v>
      </c>
    </row>
    <row r="39" spans="1:18" ht="16" x14ac:dyDescent="0.2">
      <c r="A39" s="37" t="s">
        <v>510</v>
      </c>
      <c r="B39" s="42"/>
      <c r="C39" s="27"/>
      <c r="D39" s="27"/>
      <c r="E39" s="27"/>
      <c r="F39" s="28"/>
      <c r="G39" s="26">
        <v>0</v>
      </c>
      <c r="H39" s="26">
        <v>0</v>
      </c>
      <c r="I39" s="53"/>
      <c r="J39" s="46"/>
      <c r="K39" s="46"/>
      <c r="L39" s="46"/>
      <c r="M39" s="46"/>
      <c r="N39" s="46"/>
      <c r="O39" s="46"/>
      <c r="P39" s="46"/>
      <c r="Q39" s="46"/>
      <c r="R39" s="46"/>
    </row>
    <row r="40" spans="1:18" ht="16" x14ac:dyDescent="0.2">
      <c r="A40" s="37" t="s">
        <v>66</v>
      </c>
      <c r="B40" s="42">
        <f>B6C3F1!H39</f>
        <v>1</v>
      </c>
      <c r="C40" s="27">
        <f ca="1">'BALB cByJ'!I38</f>
        <v>2.8125</v>
      </c>
      <c r="D40" s="27" t="e">
        <f>CBA!I38</f>
        <v>#DIV/0!</v>
      </c>
      <c r="E40" s="27" t="e">
        <f>'C3H'!I38</f>
        <v>#DIV/0!</v>
      </c>
      <c r="F40" s="28">
        <f ca="1">'C57BL6J'!I38</f>
        <v>2.8</v>
      </c>
      <c r="G40" s="26">
        <v>0</v>
      </c>
      <c r="H40" s="26">
        <v>0</v>
      </c>
      <c r="I40" s="53"/>
      <c r="J40" s="46" t="e">
        <f t="shared" ca="1" si="0"/>
        <v>#DIV/0!</v>
      </c>
      <c r="K40" s="46" t="e">
        <f t="shared" ca="1" si="1"/>
        <v>#DIV/0!</v>
      </c>
      <c r="L40" s="46" t="e">
        <f t="shared" ca="1" si="2"/>
        <v>#DIV/0!</v>
      </c>
      <c r="M40" s="46" t="e">
        <f t="shared" ca="1" si="3"/>
        <v>#DIV/0!</v>
      </c>
      <c r="N40" s="46" t="e">
        <f t="shared" ca="1" si="4"/>
        <v>#DIV/0!</v>
      </c>
      <c r="O40" s="46" t="e">
        <f t="shared" ca="1" si="5"/>
        <v>#DIV/0!</v>
      </c>
      <c r="P40" s="46" t="e">
        <f t="shared" ca="1" si="6"/>
        <v>#DIV/0!</v>
      </c>
      <c r="Q40" s="46" t="e">
        <f t="shared" ca="1" si="7"/>
        <v>#DIV/0!</v>
      </c>
      <c r="R40" s="46" t="e">
        <f t="shared" ca="1" si="8"/>
        <v>#DIV/0!</v>
      </c>
    </row>
    <row r="41" spans="1:18" ht="16" x14ac:dyDescent="0.2">
      <c r="A41" s="37" t="s">
        <v>51</v>
      </c>
      <c r="B41" s="42">
        <f>B6C3F1!H40</f>
        <v>1.1333333333333333</v>
      </c>
      <c r="C41" s="27">
        <f ca="1">'BALB cByJ'!I39</f>
        <v>0.83333333333333337</v>
      </c>
      <c r="D41" s="27" t="e">
        <f>CBA!I39</f>
        <v>#DIV/0!</v>
      </c>
      <c r="E41" s="27" t="e">
        <f>'C3H'!I39</f>
        <v>#DIV/0!</v>
      </c>
      <c r="F41" s="28">
        <f ca="1">'C57BL6J'!I39</f>
        <v>1</v>
      </c>
      <c r="G41" s="26">
        <v>0</v>
      </c>
      <c r="H41" s="26">
        <v>0</v>
      </c>
      <c r="I41" s="53"/>
      <c r="J41" s="46" t="e">
        <f t="shared" ca="1" si="0"/>
        <v>#DIV/0!</v>
      </c>
      <c r="K41" s="46" t="e">
        <f t="shared" ca="1" si="1"/>
        <v>#DIV/0!</v>
      </c>
      <c r="L41" s="46" t="e">
        <f t="shared" ca="1" si="2"/>
        <v>#DIV/0!</v>
      </c>
      <c r="M41" s="46" t="e">
        <f t="shared" ca="1" si="3"/>
        <v>#DIV/0!</v>
      </c>
      <c r="N41" s="46" t="e">
        <f t="shared" ca="1" si="4"/>
        <v>#DIV/0!</v>
      </c>
      <c r="O41" s="46" t="e">
        <f t="shared" ca="1" si="5"/>
        <v>#DIV/0!</v>
      </c>
      <c r="P41" s="46" t="e">
        <f t="shared" ca="1" si="6"/>
        <v>#DIV/0!</v>
      </c>
      <c r="Q41" s="46" t="e">
        <f t="shared" ca="1" si="7"/>
        <v>#DIV/0!</v>
      </c>
      <c r="R41" s="46" t="e">
        <f t="shared" ca="1" si="8"/>
        <v>#DIV/0!</v>
      </c>
    </row>
    <row r="42" spans="1:18" ht="16" x14ac:dyDescent="0.2">
      <c r="A42" s="37" t="s">
        <v>509</v>
      </c>
      <c r="B42" s="42"/>
      <c r="C42" s="27"/>
      <c r="D42" s="27"/>
      <c r="E42" s="27"/>
      <c r="F42" s="28"/>
      <c r="G42" s="26">
        <v>0</v>
      </c>
      <c r="H42" s="26">
        <v>0</v>
      </c>
      <c r="I42" s="53" t="s">
        <v>511</v>
      </c>
      <c r="J42" s="46"/>
      <c r="K42" s="46"/>
      <c r="L42" s="46"/>
      <c r="M42" s="46"/>
      <c r="N42" s="46"/>
      <c r="O42" s="46"/>
      <c r="P42" s="46"/>
      <c r="Q42" s="46"/>
      <c r="R42" s="46"/>
    </row>
    <row r="43" spans="1:18" ht="16" x14ac:dyDescent="0.2">
      <c r="A43" s="37" t="s">
        <v>119</v>
      </c>
      <c r="B43" s="42">
        <f>B6C3F1!H41</f>
        <v>1.5</v>
      </c>
      <c r="C43" s="27" t="e">
        <f ca="1">'BALB cByJ'!I40</f>
        <v>#DIV/0!</v>
      </c>
      <c r="D43" s="27" t="e">
        <f>CBA!I40</f>
        <v>#DIV/0!</v>
      </c>
      <c r="E43" s="27" t="e">
        <f>'C3H'!I40</f>
        <v>#DIV/0!</v>
      </c>
      <c r="F43" s="28" t="e">
        <f ca="1">'C57BL6J'!I40</f>
        <v>#DIV/0!</v>
      </c>
      <c r="G43" s="26">
        <v>0</v>
      </c>
      <c r="H43" s="26">
        <v>0</v>
      </c>
      <c r="I43" s="53"/>
      <c r="J43" s="46" t="e">
        <f t="shared" ca="1" si="0"/>
        <v>#DIV/0!</v>
      </c>
      <c r="K43" s="46" t="e">
        <f t="shared" ca="1" si="1"/>
        <v>#DIV/0!</v>
      </c>
      <c r="L43" s="46" t="e">
        <f t="shared" ca="1" si="2"/>
        <v>#DIV/0!</v>
      </c>
      <c r="M43" s="46" t="e">
        <f t="shared" ca="1" si="3"/>
        <v>#DIV/0!</v>
      </c>
      <c r="N43" s="46" t="e">
        <f t="shared" ca="1" si="4"/>
        <v>#DIV/0!</v>
      </c>
      <c r="O43" s="46" t="e">
        <f t="shared" ca="1" si="5"/>
        <v>#DIV/0!</v>
      </c>
      <c r="P43" s="46" t="e">
        <f t="shared" ca="1" si="6"/>
        <v>#DIV/0!</v>
      </c>
      <c r="Q43" s="46" t="e">
        <f t="shared" ca="1" si="7"/>
        <v>#DIV/0!</v>
      </c>
      <c r="R43" s="46" t="e">
        <f t="shared" ca="1" si="8"/>
        <v>#DIV/0!</v>
      </c>
    </row>
    <row r="44" spans="1:18" ht="16" x14ac:dyDescent="0.2">
      <c r="A44" s="37" t="s">
        <v>122</v>
      </c>
      <c r="B44" s="42">
        <f>B6C3F1!H42</f>
        <v>2.5</v>
      </c>
      <c r="C44" s="27">
        <f ca="1">'BALB cByJ'!I41</f>
        <v>3.75</v>
      </c>
      <c r="D44" s="27">
        <f>CBA!I41</f>
        <v>16.666666666666668</v>
      </c>
      <c r="E44" s="27" t="e">
        <f>'C3H'!I41</f>
        <v>#DIV/0!</v>
      </c>
      <c r="F44" s="28">
        <f ca="1">'C57BL6J'!I41</f>
        <v>3</v>
      </c>
      <c r="G44" s="26">
        <v>0</v>
      </c>
      <c r="H44" s="26">
        <v>0</v>
      </c>
      <c r="I44" s="53"/>
      <c r="J44" s="46" t="e">
        <f t="shared" ca="1" si="0"/>
        <v>#DIV/0!</v>
      </c>
      <c r="K44" s="46" t="e">
        <f t="shared" ca="1" si="1"/>
        <v>#DIV/0!</v>
      </c>
      <c r="L44" s="46" t="e">
        <f t="shared" ca="1" si="2"/>
        <v>#DIV/0!</v>
      </c>
      <c r="M44" s="46" t="e">
        <f t="shared" ca="1" si="3"/>
        <v>#DIV/0!</v>
      </c>
      <c r="N44" s="46" t="e">
        <f t="shared" ca="1" si="4"/>
        <v>#DIV/0!</v>
      </c>
      <c r="O44" s="46" t="e">
        <f t="shared" ca="1" si="5"/>
        <v>#DIV/0!</v>
      </c>
      <c r="P44" s="46" t="e">
        <f t="shared" ca="1" si="6"/>
        <v>#DIV/0!</v>
      </c>
      <c r="Q44" s="46" t="e">
        <f t="shared" ca="1" si="7"/>
        <v>#DIV/0!</v>
      </c>
      <c r="R44" s="46" t="e">
        <f t="shared" ca="1" si="8"/>
        <v>#DIV/0!</v>
      </c>
    </row>
    <row r="45" spans="1:18" ht="16" x14ac:dyDescent="0.2">
      <c r="A45" s="37" t="s">
        <v>123</v>
      </c>
      <c r="B45" s="42">
        <f>B6C3F1!H43</f>
        <v>2</v>
      </c>
      <c r="C45" s="27" t="e">
        <f ca="1">'BALB cByJ'!I42</f>
        <v>#DIV/0!</v>
      </c>
      <c r="D45" s="27" t="e">
        <f>CBA!I42</f>
        <v>#DIV/0!</v>
      </c>
      <c r="E45" s="27" t="e">
        <f>'C3H'!I42</f>
        <v>#DIV/0!</v>
      </c>
      <c r="F45" s="28" t="e">
        <f ca="1">'C57BL6J'!I42</f>
        <v>#DIV/0!</v>
      </c>
      <c r="G45" s="26">
        <v>0</v>
      </c>
      <c r="H45" s="26">
        <v>0</v>
      </c>
      <c r="I45" s="53"/>
      <c r="J45" s="46" t="e">
        <f t="shared" ca="1" si="0"/>
        <v>#DIV/0!</v>
      </c>
      <c r="K45" s="46" t="e">
        <f t="shared" ca="1" si="1"/>
        <v>#DIV/0!</v>
      </c>
      <c r="L45" s="46" t="e">
        <f t="shared" ca="1" si="2"/>
        <v>#DIV/0!</v>
      </c>
      <c r="M45" s="46" t="e">
        <f t="shared" ca="1" si="3"/>
        <v>#DIV/0!</v>
      </c>
      <c r="N45" s="46" t="e">
        <f t="shared" ca="1" si="4"/>
        <v>#DIV/0!</v>
      </c>
      <c r="O45" s="46" t="e">
        <f t="shared" ca="1" si="5"/>
        <v>#DIV/0!</v>
      </c>
      <c r="P45" s="46" t="e">
        <f t="shared" ca="1" si="6"/>
        <v>#DIV/0!</v>
      </c>
      <c r="Q45" s="46" t="e">
        <f t="shared" ca="1" si="7"/>
        <v>#DIV/0!</v>
      </c>
      <c r="R45" s="46" t="e">
        <f t="shared" ca="1" si="8"/>
        <v>#DIV/0!</v>
      </c>
    </row>
    <row r="46" spans="1:18" ht="16" x14ac:dyDescent="0.2">
      <c r="A46" s="37" t="s">
        <v>125</v>
      </c>
      <c r="B46" s="42">
        <f>B6C3F1!H44</f>
        <v>1</v>
      </c>
      <c r="C46" s="27" t="e">
        <f ca="1">'BALB cByJ'!I43</f>
        <v>#DIV/0!</v>
      </c>
      <c r="D46" s="27" t="e">
        <f>CBA!I43</f>
        <v>#DIV/0!</v>
      </c>
      <c r="E46" s="27" t="e">
        <f>'C3H'!I43</f>
        <v>#DIV/0!</v>
      </c>
      <c r="F46" s="28" t="e">
        <f ca="1">'C57BL6J'!I43</f>
        <v>#DIV/0!</v>
      </c>
      <c r="G46" s="26">
        <v>0</v>
      </c>
      <c r="H46" s="26">
        <v>0</v>
      </c>
      <c r="I46" s="53"/>
      <c r="J46" s="46" t="e">
        <f t="shared" ca="1" si="0"/>
        <v>#DIV/0!</v>
      </c>
      <c r="K46" s="46" t="e">
        <f t="shared" ca="1" si="1"/>
        <v>#DIV/0!</v>
      </c>
      <c r="L46" s="46" t="e">
        <f t="shared" ca="1" si="2"/>
        <v>#DIV/0!</v>
      </c>
      <c r="M46" s="46" t="e">
        <f t="shared" ca="1" si="3"/>
        <v>#DIV/0!</v>
      </c>
      <c r="N46" s="46" t="e">
        <f t="shared" ca="1" si="4"/>
        <v>#DIV/0!</v>
      </c>
      <c r="O46" s="46" t="e">
        <f t="shared" ca="1" si="5"/>
        <v>#DIV/0!</v>
      </c>
      <c r="P46" s="46" t="e">
        <f t="shared" ca="1" si="6"/>
        <v>#DIV/0!</v>
      </c>
      <c r="Q46" s="46" t="e">
        <f t="shared" ca="1" si="7"/>
        <v>#DIV/0!</v>
      </c>
      <c r="R46" s="46" t="e">
        <f t="shared" ca="1" si="8"/>
        <v>#DIV/0!</v>
      </c>
    </row>
    <row r="47" spans="1:18" ht="16" x14ac:dyDescent="0.2">
      <c r="A47" s="37" t="s">
        <v>55</v>
      </c>
      <c r="B47" s="42">
        <f>B6C3F1!H45</f>
        <v>2</v>
      </c>
      <c r="C47" s="27">
        <f ca="1">'BALB cByJ'!I44</f>
        <v>1.875</v>
      </c>
      <c r="D47" s="27">
        <f>CBA!I44</f>
        <v>8.9444444444444446</v>
      </c>
      <c r="E47" s="27" t="e">
        <f>'C3H'!I44</f>
        <v>#DIV/0!</v>
      </c>
      <c r="F47" s="28">
        <f ca="1">'C57BL6J'!I44</f>
        <v>5.5</v>
      </c>
      <c r="G47" s="26">
        <v>0</v>
      </c>
      <c r="H47" s="26">
        <v>0</v>
      </c>
      <c r="I47" s="53"/>
      <c r="J47" s="46" t="e">
        <f t="shared" ca="1" si="0"/>
        <v>#DIV/0!</v>
      </c>
      <c r="K47" s="46" t="e">
        <f t="shared" ca="1" si="1"/>
        <v>#DIV/0!</v>
      </c>
      <c r="L47" s="46" t="e">
        <f t="shared" ca="1" si="2"/>
        <v>#DIV/0!</v>
      </c>
      <c r="M47" s="46" t="e">
        <f t="shared" ca="1" si="3"/>
        <v>#DIV/0!</v>
      </c>
      <c r="N47" s="46" t="e">
        <f t="shared" ca="1" si="4"/>
        <v>#DIV/0!</v>
      </c>
      <c r="O47" s="46" t="e">
        <f t="shared" ca="1" si="5"/>
        <v>#DIV/0!</v>
      </c>
      <c r="P47" s="46" t="e">
        <f t="shared" ca="1" si="6"/>
        <v>#DIV/0!</v>
      </c>
      <c r="Q47" s="46" t="e">
        <f t="shared" ca="1" si="7"/>
        <v>#DIV/0!</v>
      </c>
      <c r="R47" s="46" t="e">
        <f t="shared" ca="1" si="8"/>
        <v>#DIV/0!</v>
      </c>
    </row>
    <row r="48" spans="1:18" ht="17" thickBot="1" x14ac:dyDescent="0.25">
      <c r="A48" s="38" t="s">
        <v>127</v>
      </c>
      <c r="B48" s="43">
        <f>B6C3F1!H46</f>
        <v>1</v>
      </c>
      <c r="C48" s="44" t="e">
        <f ca="1">'BALB cByJ'!I45</f>
        <v>#DIV/0!</v>
      </c>
      <c r="D48" s="44" t="e">
        <f>CBA!I45</f>
        <v>#DIV/0!</v>
      </c>
      <c r="E48" s="44" t="e">
        <f>'C3H'!I45</f>
        <v>#DIV/0!</v>
      </c>
      <c r="F48" s="45" t="e">
        <f ca="1">'C57BL6J'!I45</f>
        <v>#DIV/0!</v>
      </c>
      <c r="G48" s="26">
        <v>0</v>
      </c>
      <c r="H48" s="26">
        <v>0</v>
      </c>
      <c r="I48" s="54"/>
      <c r="J48" s="46" t="e">
        <f t="shared" ca="1" si="0"/>
        <v>#DIV/0!</v>
      </c>
      <c r="K48" s="46" t="e">
        <f t="shared" ca="1" si="1"/>
        <v>#DIV/0!</v>
      </c>
      <c r="L48" s="46" t="e">
        <f t="shared" ca="1" si="2"/>
        <v>#DIV/0!</v>
      </c>
      <c r="M48" s="46" t="e">
        <f t="shared" ca="1" si="3"/>
        <v>#DIV/0!</v>
      </c>
      <c r="N48" s="46" t="e">
        <f t="shared" ca="1" si="4"/>
        <v>#DIV/0!</v>
      </c>
      <c r="O48" s="46" t="e">
        <f t="shared" ca="1" si="5"/>
        <v>#DIV/0!</v>
      </c>
      <c r="P48" s="46" t="e">
        <f t="shared" ca="1" si="6"/>
        <v>#DIV/0!</v>
      </c>
      <c r="Q48" s="46" t="e">
        <f t="shared" ca="1" si="7"/>
        <v>#DIV/0!</v>
      </c>
      <c r="R48" s="46" t="e">
        <f t="shared" ca="1" si="8"/>
        <v>#DIV/0!</v>
      </c>
    </row>
    <row r="49" spans="2:3" x14ac:dyDescent="0.2">
      <c r="B49" s="25"/>
      <c r="C49" s="25"/>
    </row>
  </sheetData>
  <mergeCells count="1">
    <mergeCell ref="J1:R1"/>
  </mergeCells>
  <conditionalFormatting sqref="J3:R48">
    <cfRule type="cellIs" dxfId="3" priority="1" operator="lessThan">
      <formula>-0.88</formula>
    </cfRule>
    <cfRule type="cellIs" dxfId="2" priority="2" operator="greaterThan">
      <formula>0.88</formula>
    </cfRule>
  </conditionalFormatting>
  <pageMargins left="0.7" right="0.7" top="0.75" bottom="0.75" header="0.3" footer="0.3"/>
  <ignoredErrors>
    <ignoredError sqref="O14" evalError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45"/>
  <sheetViews>
    <sheetView workbookViewId="0">
      <selection activeCell="I38" sqref="I38"/>
    </sheetView>
  </sheetViews>
  <sheetFormatPr baseColWidth="10" defaultColWidth="8.83203125" defaultRowHeight="15" x14ac:dyDescent="0.2"/>
  <cols>
    <col min="1" max="1" width="28.6640625" customWidth="1"/>
    <col min="6" max="6" width="11.1640625" bestFit="1" customWidth="1"/>
    <col min="7" max="7" width="9" bestFit="1" customWidth="1"/>
    <col min="8" max="8" width="17.6640625" bestFit="1" customWidth="1"/>
    <col min="9" max="12" width="12" customWidth="1"/>
  </cols>
  <sheetData>
    <row r="1" spans="1:27" ht="16" thickBot="1" x14ac:dyDescent="0.25">
      <c r="A1" s="29"/>
      <c r="B1" s="30" t="s">
        <v>129</v>
      </c>
      <c r="C1" s="30" t="s">
        <v>298</v>
      </c>
      <c r="D1" s="30" t="s">
        <v>1</v>
      </c>
      <c r="E1" s="31" t="s">
        <v>3</v>
      </c>
      <c r="F1" s="32" t="s">
        <v>350</v>
      </c>
      <c r="G1" s="33" t="s">
        <v>351</v>
      </c>
      <c r="H1" s="34" t="s">
        <v>352</v>
      </c>
      <c r="I1" s="50"/>
      <c r="J1" s="50"/>
      <c r="K1" s="50"/>
      <c r="L1" s="50"/>
      <c r="M1" s="32" t="s">
        <v>350</v>
      </c>
      <c r="N1" s="33" t="s">
        <v>351</v>
      </c>
      <c r="O1" s="34" t="s">
        <v>352</v>
      </c>
      <c r="R1" s="48" t="s">
        <v>486</v>
      </c>
      <c r="S1" s="48" t="s">
        <v>487</v>
      </c>
    </row>
    <row r="2" spans="1:27" ht="16" x14ac:dyDescent="0.2">
      <c r="A2" s="36" t="s">
        <v>35</v>
      </c>
      <c r="B2" s="39">
        <f>B6C3F1!H3</f>
        <v>0.75</v>
      </c>
      <c r="C2" s="40">
        <f ca="1">'BALB cByJ'!I2</f>
        <v>0</v>
      </c>
      <c r="D2" s="40" t="e">
        <f>CBA!I2</f>
        <v>#DIV/0!</v>
      </c>
      <c r="E2" s="41" t="e">
        <f ca="1">'C57BL6J'!I2</f>
        <v>#DIV/0!</v>
      </c>
      <c r="F2" s="46"/>
      <c r="G2" s="46"/>
      <c r="H2" s="46"/>
      <c r="I2" s="51"/>
      <c r="J2" s="51"/>
      <c r="K2" s="51"/>
      <c r="L2" s="51"/>
    </row>
    <row r="3" spans="1:27" ht="17" thickBot="1" x14ac:dyDescent="0.25">
      <c r="A3" s="37" t="s">
        <v>166</v>
      </c>
      <c r="B3" s="42">
        <f>B6C3F1!H4</f>
        <v>4.4285714285714288</v>
      </c>
      <c r="C3" s="27">
        <f ca="1">'BALB cByJ'!I3</f>
        <v>4.166666666666667</v>
      </c>
      <c r="D3" s="27">
        <f>CBA!I3</f>
        <v>13.833333333333334</v>
      </c>
      <c r="E3" s="28">
        <f ca="1">'C57BL6J'!I3</f>
        <v>3.09375</v>
      </c>
      <c r="F3" s="46">
        <f ca="1">PEARSON(B3:E3,$AA$12:$AA$15)</f>
        <v>0.91119338985363008</v>
      </c>
      <c r="G3" s="46">
        <f ca="1">PEARSON(B3:E3,$T$5:$T$8)</f>
        <v>0.99302945900289585</v>
      </c>
      <c r="H3" s="46">
        <f ca="1">PEARSON(B3:E3,$U$5:$U$8)</f>
        <v>0.95862985465903794</v>
      </c>
      <c r="I3" s="51">
        <f ca="1">PEARSON(B3:E3,$S$18:$S$21)</f>
        <v>-0.5192686420828434</v>
      </c>
      <c r="J3" s="51">
        <f ca="1">PEARSON(B3:E3,$U$12:$U$15)</f>
        <v>0.85394340012655201</v>
      </c>
      <c r="K3" s="51"/>
      <c r="L3" s="51"/>
      <c r="M3" t="str">
        <f ca="1">IF(F3&gt;0.955,"Signficant","No")</f>
        <v>No</v>
      </c>
      <c r="N3" t="str">
        <f t="shared" ref="N3:O3" ca="1" si="0">IF(G3&gt;0.955,"Signficant","No")</f>
        <v>Signficant</v>
      </c>
      <c r="O3" t="str">
        <f t="shared" ca="1" si="0"/>
        <v>Signficant</v>
      </c>
      <c r="S3" s="23" t="s">
        <v>11</v>
      </c>
      <c r="T3" s="23" t="s">
        <v>15</v>
      </c>
      <c r="U3" s="20" t="s">
        <v>137</v>
      </c>
      <c r="V3" t="s">
        <v>508</v>
      </c>
    </row>
    <row r="4" spans="1:27" ht="16" x14ac:dyDescent="0.2">
      <c r="A4" s="37" t="s">
        <v>43</v>
      </c>
      <c r="B4" s="42">
        <f>B6C3F1!H5</f>
        <v>1.6428571428571428</v>
      </c>
      <c r="C4" s="27">
        <f ca="1">'BALB cByJ'!I4</f>
        <v>1.25</v>
      </c>
      <c r="D4" s="27">
        <f>CBA!I4</f>
        <v>0</v>
      </c>
      <c r="E4" s="28">
        <f ca="1">'C57BL6J'!I4</f>
        <v>1.75</v>
      </c>
      <c r="F4" s="46">
        <f t="shared" ref="F4:F45" ca="1" si="1">PEARSON(B4:E4,$AA$12:$AA$15)</f>
        <v>-0.98165890246958054</v>
      </c>
      <c r="G4" s="46">
        <f ca="1">PEARSON(B4:E4,$T$5:$T$8)</f>
        <v>-0.96092825190142306</v>
      </c>
      <c r="H4" s="46">
        <f ca="1">PEARSON(B4:E4,$U$5:$U$8)</f>
        <v>-0.99743539434844042</v>
      </c>
      <c r="I4" s="51">
        <f t="shared" ref="I4:I45" ca="1" si="2">PEARSON(B4:E4,$S$18:$S$21)</f>
        <v>0.64935432787521363</v>
      </c>
      <c r="J4" s="51">
        <f t="shared" ref="J4:J45" ca="1" si="3">PEARSON(B4:E4,$U$12:$U$15)</f>
        <v>-0.94253876606451581</v>
      </c>
      <c r="K4" s="51"/>
      <c r="L4" s="51"/>
      <c r="M4" t="str">
        <f ca="1">IF(F4&gt;0.955,"Signficant","No")</f>
        <v>No</v>
      </c>
      <c r="N4" t="str">
        <f t="shared" ref="N4" ca="1" si="4">IF(G4&gt;0.955,"Signficant","No")</f>
        <v>No</v>
      </c>
      <c r="O4" t="str">
        <f t="shared" ref="O4" ca="1" si="5">IF(H4&gt;0.955,"Signficant","No")</f>
        <v>No</v>
      </c>
      <c r="S4" s="19"/>
      <c r="T4" s="19"/>
      <c r="U4" s="19"/>
    </row>
    <row r="5" spans="1:27" ht="17" thickBot="1" x14ac:dyDescent="0.25">
      <c r="A5" s="37" t="s">
        <v>61</v>
      </c>
      <c r="B5" s="42">
        <f>B6C3F1!H6</f>
        <v>2</v>
      </c>
      <c r="C5" s="27" t="e">
        <f ca="1">'BALB cByJ'!I5</f>
        <v>#DIV/0!</v>
      </c>
      <c r="D5" s="27" t="e">
        <f>CBA!I5</f>
        <v>#DIV/0!</v>
      </c>
      <c r="E5" s="28" t="e">
        <f ca="1">'C57BL6J'!I5</f>
        <v>#DIV/0!</v>
      </c>
      <c r="F5" s="46" t="e">
        <f t="shared" ca="1" si="1"/>
        <v>#DIV/0!</v>
      </c>
      <c r="G5" s="46"/>
      <c r="H5" s="46"/>
      <c r="I5" s="51" t="e">
        <f t="shared" ca="1" si="2"/>
        <v>#DIV/0!</v>
      </c>
      <c r="J5" s="51" t="e">
        <f t="shared" ca="1" si="3"/>
        <v>#DIV/0!</v>
      </c>
      <c r="K5" s="51"/>
      <c r="L5" s="51"/>
      <c r="R5" t="s">
        <v>12</v>
      </c>
      <c r="S5" s="21">
        <v>11.250761350032096</v>
      </c>
      <c r="T5" s="19">
        <v>3.9327600099159832</v>
      </c>
      <c r="U5" s="22">
        <v>0.38529150000000001</v>
      </c>
    </row>
    <row r="6" spans="1:27" ht="17" thickBot="1" x14ac:dyDescent="0.25">
      <c r="A6" s="37" t="s">
        <v>60</v>
      </c>
      <c r="B6" s="42">
        <f>B6C3F1!H7</f>
        <v>0</v>
      </c>
      <c r="C6" s="27">
        <f ca="1">'BALB cByJ'!I6</f>
        <v>0</v>
      </c>
      <c r="D6" s="27" t="e">
        <f>CBA!I6</f>
        <v>#DIV/0!</v>
      </c>
      <c r="E6" s="28" t="e">
        <f ca="1">'C57BL6J'!I6</f>
        <v>#DIV/0!</v>
      </c>
      <c r="F6" s="46" t="e">
        <f t="shared" ca="1" si="1"/>
        <v>#DIV/0!</v>
      </c>
      <c r="G6" s="46"/>
      <c r="H6" s="46"/>
      <c r="I6" s="51" t="e">
        <f t="shared" ca="1" si="2"/>
        <v>#DIV/0!</v>
      </c>
      <c r="J6" s="51" t="e">
        <f t="shared" ca="1" si="3"/>
        <v>#DIV/0!</v>
      </c>
      <c r="K6" s="51"/>
      <c r="L6" s="51"/>
      <c r="R6" t="s">
        <v>13</v>
      </c>
      <c r="S6" s="21">
        <v>11.556109820919925</v>
      </c>
      <c r="T6" s="19">
        <v>3.8970483002863303</v>
      </c>
      <c r="U6" s="22">
        <v>0.42431039999999998</v>
      </c>
    </row>
    <row r="7" spans="1:27" ht="17" thickBot="1" x14ac:dyDescent="0.25">
      <c r="A7" s="37" t="s">
        <v>38</v>
      </c>
      <c r="B7" s="42">
        <f>B6C3F1!H8</f>
        <v>0.625</v>
      </c>
      <c r="C7" s="27">
        <f ca="1">'BALB cByJ'!I7</f>
        <v>0</v>
      </c>
      <c r="D7" s="27" t="e">
        <f>CBA!I7</f>
        <v>#DIV/0!</v>
      </c>
      <c r="E7" s="28">
        <f ca="1">'C57BL6J'!I7</f>
        <v>0</v>
      </c>
      <c r="F7" s="46" t="e">
        <f t="shared" ca="1" si="1"/>
        <v>#DIV/0!</v>
      </c>
      <c r="G7" s="46"/>
      <c r="H7" s="46"/>
      <c r="I7" s="51" t="e">
        <f t="shared" ca="1" si="2"/>
        <v>#DIV/0!</v>
      </c>
      <c r="J7" s="51" t="e">
        <f t="shared" ca="1" si="3"/>
        <v>#DIV/0!</v>
      </c>
      <c r="K7" s="51"/>
      <c r="L7" s="51"/>
      <c r="R7" t="s">
        <v>1</v>
      </c>
      <c r="S7" s="21">
        <v>13.130422354451106</v>
      </c>
      <c r="T7" s="19">
        <v>4.2540180040348696</v>
      </c>
      <c r="U7" s="22">
        <v>0.51466199999999995</v>
      </c>
    </row>
    <row r="8" spans="1:27" ht="17" thickBot="1" x14ac:dyDescent="0.25">
      <c r="A8" s="37" t="s">
        <v>132</v>
      </c>
      <c r="B8" s="42">
        <f>B6C3F1!H9</f>
        <v>3.4375</v>
      </c>
      <c r="C8" s="27" t="e">
        <f ca="1">'BALB cByJ'!I8</f>
        <v>#DIV/0!</v>
      </c>
      <c r="D8" s="27" t="e">
        <f>CBA!I8</f>
        <v>#DIV/0!</v>
      </c>
      <c r="E8" s="28">
        <f ca="1">'C57BL6J'!I8</f>
        <v>1.75</v>
      </c>
      <c r="F8" s="46" t="e">
        <f t="shared" ca="1" si="1"/>
        <v>#DIV/0!</v>
      </c>
      <c r="G8" s="46"/>
      <c r="H8" s="46"/>
      <c r="I8" s="51" t="e">
        <f t="shared" ca="1" si="2"/>
        <v>#DIV/0!</v>
      </c>
      <c r="J8" s="51" t="e">
        <f t="shared" ca="1" si="3"/>
        <v>#DIV/0!</v>
      </c>
      <c r="K8" s="51"/>
      <c r="L8" s="51"/>
      <c r="R8" t="s">
        <v>14</v>
      </c>
      <c r="S8" s="21">
        <v>11.248485416924321</v>
      </c>
      <c r="T8" s="19">
        <v>3.828465784092097</v>
      </c>
      <c r="U8" s="22">
        <v>0.38622299999999998</v>
      </c>
    </row>
    <row r="9" spans="1:27" ht="16" x14ac:dyDescent="0.2">
      <c r="A9" s="37" t="s">
        <v>65</v>
      </c>
      <c r="B9" s="42">
        <f>B6C3F1!H10</f>
        <v>1</v>
      </c>
      <c r="C9" s="27">
        <f ca="1">'BALB cByJ'!I9</f>
        <v>0.625</v>
      </c>
      <c r="D9" s="27" t="e">
        <f>CBA!I9</f>
        <v>#DIV/0!</v>
      </c>
      <c r="E9" s="28">
        <f ca="1">'C57BL6J'!I9</f>
        <v>0</v>
      </c>
      <c r="F9" s="46" t="e">
        <f t="shared" ca="1" si="1"/>
        <v>#DIV/0!</v>
      </c>
      <c r="G9" s="46"/>
      <c r="H9" s="46"/>
      <c r="I9" s="51" t="e">
        <f t="shared" ca="1" si="2"/>
        <v>#DIV/0!</v>
      </c>
      <c r="J9" s="51" t="e">
        <f t="shared" ca="1" si="3"/>
        <v>#DIV/0!</v>
      </c>
      <c r="K9" s="51"/>
      <c r="L9" s="51"/>
    </row>
    <row r="10" spans="1:27" ht="32" x14ac:dyDescent="0.2">
      <c r="A10" s="37" t="s">
        <v>71</v>
      </c>
      <c r="B10" s="42">
        <f>B6C3F1!H11</f>
        <v>1</v>
      </c>
      <c r="C10" s="27" t="e">
        <f ca="1">'BALB cByJ'!I10</f>
        <v>#DIV/0!</v>
      </c>
      <c r="D10" s="27" t="e">
        <f>CBA!I10</f>
        <v>#DIV/0!</v>
      </c>
      <c r="E10" s="28" t="e">
        <f ca="1">'C57BL6J'!I10</f>
        <v>#DIV/0!</v>
      </c>
      <c r="F10" s="46" t="e">
        <f t="shared" ca="1" si="1"/>
        <v>#DIV/0!</v>
      </c>
      <c r="G10" s="46"/>
      <c r="H10" s="46"/>
      <c r="I10" s="51" t="e">
        <f t="shared" ca="1" si="2"/>
        <v>#DIV/0!</v>
      </c>
      <c r="J10" s="51" t="e">
        <f t="shared" ca="1" si="3"/>
        <v>#DIV/0!</v>
      </c>
      <c r="K10" s="51"/>
      <c r="L10" s="51"/>
    </row>
    <row r="11" spans="1:27" ht="16" x14ac:dyDescent="0.2">
      <c r="A11" s="37" t="s">
        <v>88</v>
      </c>
      <c r="B11" s="42">
        <f>B6C3F1!H12</f>
        <v>5.7450000000000001</v>
      </c>
      <c r="C11" s="27">
        <f ca="1">'BALB cByJ'!I11</f>
        <v>1.6666666666666667</v>
      </c>
      <c r="D11" s="27">
        <f>CBA!I11</f>
        <v>12.5</v>
      </c>
      <c r="E11" s="28">
        <f ca="1">'C57BL6J'!I11</f>
        <v>1.25</v>
      </c>
      <c r="F11" s="46">
        <f t="shared" ca="1" si="1"/>
        <v>0.75942104447505043</v>
      </c>
      <c r="G11" s="49">
        <f ca="1">PEARSON(B11:E11,$T$5:$T$8)</f>
        <v>0.96933765286793838</v>
      </c>
      <c r="H11" s="46">
        <f ca="1">PEARSON(B11:E11,$U$5:$U$8)</f>
        <v>0.82756962311776494</v>
      </c>
      <c r="I11" s="51">
        <f t="shared" ca="1" si="2"/>
        <v>-0.45039522001761428</v>
      </c>
      <c r="J11" s="51">
        <f t="shared" ca="1" si="3"/>
        <v>0.64899175875069892</v>
      </c>
      <c r="K11" s="51"/>
      <c r="L11" s="51"/>
      <c r="M11" t="str">
        <f ca="1">IF(F11&gt;0.955,"Signficant","No")</f>
        <v>No</v>
      </c>
      <c r="N11" t="str">
        <f t="shared" ref="N11:N12" ca="1" si="6">IF(G11&gt;0.955,"Signficant","No")</f>
        <v>Signficant</v>
      </c>
      <c r="O11" t="str">
        <f t="shared" ref="O11:O12" ca="1" si="7">IF(H11&gt;0.955,"Signficant","No")</f>
        <v>No</v>
      </c>
      <c r="S11" t="s">
        <v>488</v>
      </c>
      <c r="T11" t="s">
        <v>489</v>
      </c>
      <c r="U11" t="s">
        <v>490</v>
      </c>
      <c r="V11" t="s">
        <v>491</v>
      </c>
      <c r="W11" t="s">
        <v>492</v>
      </c>
      <c r="X11" t="s">
        <v>493</v>
      </c>
      <c r="Y11" t="s">
        <v>495</v>
      </c>
      <c r="Z11" t="s">
        <v>494</v>
      </c>
      <c r="AA11" t="s">
        <v>496</v>
      </c>
    </row>
    <row r="12" spans="1:27" ht="16" x14ac:dyDescent="0.2">
      <c r="A12" s="37" t="s">
        <v>25</v>
      </c>
      <c r="B12" s="42">
        <f>B6C3F1!H13</f>
        <v>2.0833333333333335</v>
      </c>
      <c r="C12" s="27">
        <f ca="1">'BALB cByJ'!I12</f>
        <v>0</v>
      </c>
      <c r="D12" s="27">
        <f>CBA!I12</f>
        <v>2</v>
      </c>
      <c r="E12" s="28">
        <f ca="1">'C57BL6J'!I12</f>
        <v>1.6666666666666667</v>
      </c>
      <c r="F12" s="46">
        <f t="shared" ca="1" si="1"/>
        <v>-4.8284987436529439E-2</v>
      </c>
      <c r="G12" s="46">
        <f ca="1">PEARSON(B12:E12,$T$5:$T$8)</f>
        <v>0.37649971864674026</v>
      </c>
      <c r="H12" s="46">
        <f ca="1">PEARSON(B12:E12,$U$5:$U$8)</f>
        <v>9.4978416967361118E-2</v>
      </c>
      <c r="I12" s="51">
        <f t="shared" ca="1" si="2"/>
        <v>0.43276931821496867</v>
      </c>
      <c r="J12" s="51">
        <f t="shared" ca="1" si="3"/>
        <v>-0.12153779317301683</v>
      </c>
      <c r="K12" s="51"/>
      <c r="L12" s="51"/>
      <c r="M12" t="str">
        <f ca="1">IF(F12&gt;0.955,"Signficant","No")</f>
        <v>No</v>
      </c>
      <c r="N12" t="str">
        <f t="shared" ca="1" si="6"/>
        <v>No</v>
      </c>
      <c r="O12" t="str">
        <f t="shared" ca="1" si="7"/>
        <v>No</v>
      </c>
      <c r="R12" t="s">
        <v>12</v>
      </c>
      <c r="S12">
        <v>5.3846308758184902</v>
      </c>
      <c r="T12">
        <v>0.88706907899116605</v>
      </c>
      <c r="U12">
        <v>6.10926035796136</v>
      </c>
      <c r="V12">
        <v>0.85723767664167405</v>
      </c>
      <c r="W12">
        <v>4.24544203233628</v>
      </c>
      <c r="X12">
        <v>9.05665854075162</v>
      </c>
      <c r="Y12">
        <v>3.6141720121635532</v>
      </c>
      <c r="Z12">
        <v>20.261997554665701</v>
      </c>
      <c r="AA12">
        <v>9.05665854075162</v>
      </c>
    </row>
    <row r="13" spans="1:27" ht="16" x14ac:dyDescent="0.2">
      <c r="A13" s="37" t="s">
        <v>74</v>
      </c>
      <c r="B13" s="42">
        <f>B6C3F1!H14</f>
        <v>1</v>
      </c>
      <c r="C13" s="27" t="e">
        <f ca="1">'BALB cByJ'!I13</f>
        <v>#DIV/0!</v>
      </c>
      <c r="D13" s="27" t="e">
        <f>CBA!I13</f>
        <v>#DIV/0!</v>
      </c>
      <c r="E13" s="28" t="e">
        <f ca="1">'C57BL6J'!I13</f>
        <v>#DIV/0!</v>
      </c>
      <c r="F13" s="46" t="e">
        <f t="shared" ca="1" si="1"/>
        <v>#DIV/0!</v>
      </c>
      <c r="G13" s="46"/>
      <c r="H13" s="46"/>
      <c r="I13" s="51" t="e">
        <f t="shared" ca="1" si="2"/>
        <v>#DIV/0!</v>
      </c>
      <c r="J13" s="51" t="e">
        <f t="shared" ca="1" si="3"/>
        <v>#DIV/0!</v>
      </c>
      <c r="K13" s="51"/>
      <c r="L13" s="51"/>
      <c r="R13" t="s">
        <v>13</v>
      </c>
      <c r="S13">
        <v>7.2797006147032697</v>
      </c>
      <c r="T13">
        <v>0.90177099213016099</v>
      </c>
      <c r="U13">
        <v>6.9942103529647</v>
      </c>
      <c r="V13">
        <v>0.90753741576009805</v>
      </c>
      <c r="W13">
        <v>2.3854505097362102</v>
      </c>
      <c r="X13">
        <v>10.195734727808601</v>
      </c>
      <c r="Y13">
        <v>3.8112864197929901</v>
      </c>
      <c r="Z13">
        <v>26.947274517523098</v>
      </c>
      <c r="AA13">
        <v>10.195734727808601</v>
      </c>
    </row>
    <row r="14" spans="1:27" ht="16" x14ac:dyDescent="0.2">
      <c r="A14" s="37" t="s">
        <v>76</v>
      </c>
      <c r="B14" s="42">
        <f>B6C3F1!H15</f>
        <v>0</v>
      </c>
      <c r="C14" s="27" t="e">
        <f ca="1">'BALB cByJ'!I14</f>
        <v>#DIV/0!</v>
      </c>
      <c r="D14" s="27" t="e">
        <f>CBA!I14</f>
        <v>#DIV/0!</v>
      </c>
      <c r="E14" s="28" t="e">
        <f ca="1">'C57BL6J'!I14</f>
        <v>#DIV/0!</v>
      </c>
      <c r="F14" s="46" t="e">
        <f t="shared" ca="1" si="1"/>
        <v>#DIV/0!</v>
      </c>
      <c r="G14" s="46"/>
      <c r="H14" s="46"/>
      <c r="I14" s="51" t="e">
        <f t="shared" ca="1" si="2"/>
        <v>#DIV/0!</v>
      </c>
      <c r="J14" s="51" t="e">
        <f t="shared" ca="1" si="3"/>
        <v>#DIV/0!</v>
      </c>
      <c r="K14" s="51"/>
      <c r="L14" s="51"/>
      <c r="R14" t="s">
        <v>2</v>
      </c>
      <c r="S14">
        <v>6.04458282998326</v>
      </c>
      <c r="T14">
        <v>0.87988504631424902</v>
      </c>
      <c r="U14">
        <v>7.7699679391821199</v>
      </c>
      <c r="V14">
        <v>0.87286613661907597</v>
      </c>
      <c r="W14">
        <v>2.8029287472294002</v>
      </c>
      <c r="X14">
        <v>11.6650308922381</v>
      </c>
      <c r="Y14">
        <v>4.22015351843421</v>
      </c>
      <c r="Z14">
        <v>29.518451429337599</v>
      </c>
      <c r="AA14">
        <v>11.6650308922381</v>
      </c>
    </row>
    <row r="15" spans="1:27" ht="16" x14ac:dyDescent="0.2">
      <c r="A15" s="37" t="s">
        <v>26</v>
      </c>
      <c r="B15" s="42">
        <f>B6C3F1!H16</f>
        <v>0</v>
      </c>
      <c r="C15" s="27" t="e">
        <f ca="1">'BALB cByJ'!I15</f>
        <v>#DIV/0!</v>
      </c>
      <c r="D15" s="27" t="e">
        <f>CBA!I15</f>
        <v>#DIV/0!</v>
      </c>
      <c r="E15" s="28" t="e">
        <f ca="1">'C57BL6J'!I15</f>
        <v>#DIV/0!</v>
      </c>
      <c r="F15" s="46" t="e">
        <f t="shared" ca="1" si="1"/>
        <v>#DIV/0!</v>
      </c>
      <c r="G15" s="46"/>
      <c r="H15" s="46"/>
      <c r="I15" s="51" t="e">
        <f t="shared" ca="1" si="2"/>
        <v>#DIV/0!</v>
      </c>
      <c r="J15" s="51" t="e">
        <f t="shared" ca="1" si="3"/>
        <v>#DIV/0!</v>
      </c>
      <c r="K15" s="51"/>
      <c r="L15" s="51"/>
      <c r="R15" t="s">
        <v>14</v>
      </c>
      <c r="S15">
        <v>5.2886282417547701</v>
      </c>
      <c r="T15">
        <v>0.88138529285167899</v>
      </c>
      <c r="U15">
        <v>6.4638731845622797</v>
      </c>
      <c r="V15">
        <v>0.86890958520772898</v>
      </c>
      <c r="W15">
        <v>2.6739664836414399</v>
      </c>
      <c r="X15">
        <v>9.0333445978229694</v>
      </c>
      <c r="Y15">
        <v>3.5618668299979737</v>
      </c>
      <c r="Z15">
        <v>22.339623866765201</v>
      </c>
      <c r="AA15">
        <v>9.0333445978229694</v>
      </c>
    </row>
    <row r="16" spans="1:27" ht="16" x14ac:dyDescent="0.2">
      <c r="A16" s="37" t="s">
        <v>78</v>
      </c>
      <c r="B16" s="42">
        <f>B6C3F1!H17</f>
        <v>1.625</v>
      </c>
      <c r="C16" s="27">
        <f ca="1">'BALB cByJ'!I16</f>
        <v>0.234375</v>
      </c>
      <c r="D16" s="27" t="e">
        <f>CBA!I16</f>
        <v>#DIV/0!</v>
      </c>
      <c r="E16" s="28">
        <f ca="1">'C57BL6J'!I16</f>
        <v>0.25925925925925924</v>
      </c>
      <c r="F16" s="46" t="e">
        <f t="shared" ca="1" si="1"/>
        <v>#DIV/0!</v>
      </c>
      <c r="G16" s="46"/>
      <c r="H16" s="46"/>
      <c r="I16" s="51" t="e">
        <f t="shared" ca="1" si="2"/>
        <v>#DIV/0!</v>
      </c>
      <c r="J16" s="51" t="e">
        <f t="shared" ca="1" si="3"/>
        <v>#DIV/0!</v>
      </c>
      <c r="K16" s="51"/>
      <c r="L16" s="51"/>
      <c r="R16" t="s">
        <v>1</v>
      </c>
      <c r="S16">
        <v>6.2424646338974297</v>
      </c>
      <c r="T16">
        <v>0.88424278109684995</v>
      </c>
      <c r="U16">
        <v>7.5134753183892098</v>
      </c>
      <c r="V16">
        <v>0.86876757112821101</v>
      </c>
      <c r="W16">
        <v>3.1569833234654801</v>
      </c>
      <c r="X16">
        <v>10.072893335806301</v>
      </c>
      <c r="Y16">
        <v>2.8177823410928671</v>
      </c>
      <c r="Z16">
        <v>22.421855467368999</v>
      </c>
      <c r="AA16">
        <v>10.072893335806301</v>
      </c>
    </row>
    <row r="17" spans="1:27" ht="16" x14ac:dyDescent="0.2">
      <c r="A17" s="37" t="s">
        <v>27</v>
      </c>
      <c r="B17" s="42">
        <f>B6C3F1!H18</f>
        <v>0.75</v>
      </c>
      <c r="C17" s="27">
        <f ca="1">'BALB cByJ'!I17</f>
        <v>0</v>
      </c>
      <c r="D17" s="27">
        <f>CBA!I17</f>
        <v>2.0499999999999998</v>
      </c>
      <c r="E17" s="28">
        <f ca="1">'C57BL6J'!I17</f>
        <v>2.411111111111111</v>
      </c>
      <c r="F17" s="46">
        <f t="shared" ca="1" si="1"/>
        <v>0.10481067580700115</v>
      </c>
      <c r="G17" s="46">
        <f ca="1">PEARSON(B17:E17,$T$5:$T$8)</f>
        <v>0.26833097511916054</v>
      </c>
      <c r="H17" s="46">
        <f ca="1">PEARSON(B17:E17,$U$5:$U$8)</f>
        <v>0.22859402746610322</v>
      </c>
      <c r="I17" s="51">
        <f t="shared" ca="1" si="2"/>
        <v>0.59748055885518847</v>
      </c>
      <c r="J17" s="51">
        <f t="shared" ca="1" si="3"/>
        <v>0.1976012927929027</v>
      </c>
      <c r="K17" s="51"/>
      <c r="L17" s="51"/>
      <c r="M17" t="str">
        <f ca="1">IF(F17&gt;0.955,"Signficant","No")</f>
        <v>No</v>
      </c>
      <c r="N17" t="str">
        <f t="shared" ref="N17:N20" ca="1" si="8">IF(G17&gt;0.955,"Signficant","No")</f>
        <v>No</v>
      </c>
      <c r="O17" t="str">
        <f t="shared" ref="O17:O20" ca="1" si="9">IF(H17&gt;0.955,"Signficant","No")</f>
        <v>No</v>
      </c>
      <c r="R17" t="s">
        <v>497</v>
      </c>
      <c r="S17">
        <v>5.5249998919910199</v>
      </c>
      <c r="T17">
        <v>0.87371598925234695</v>
      </c>
      <c r="U17">
        <v>6.1430720728562802</v>
      </c>
      <c r="V17">
        <v>0.87657366984803198</v>
      </c>
      <c r="W17">
        <v>2.88240207989766</v>
      </c>
      <c r="X17">
        <v>10.201013305631299</v>
      </c>
      <c r="Y17">
        <v>3.2334041727192835</v>
      </c>
      <c r="Z17">
        <v>34.808323608186399</v>
      </c>
      <c r="AA17">
        <v>10.201013305631299</v>
      </c>
    </row>
    <row r="18" spans="1:27" ht="16" x14ac:dyDescent="0.2">
      <c r="A18" s="37" t="s">
        <v>29</v>
      </c>
      <c r="B18" s="42">
        <f>B6C3F1!H19</f>
        <v>2.9312500000000004</v>
      </c>
      <c r="C18" s="27">
        <f ca="1">'BALB cByJ'!I18</f>
        <v>3</v>
      </c>
      <c r="D18" s="27">
        <f>CBA!I18</f>
        <v>4.833333333333333</v>
      </c>
      <c r="E18" s="28">
        <f ca="1">'C57BL6J'!I18</f>
        <v>6.7793103448275858</v>
      </c>
      <c r="F18" s="46">
        <f t="shared" ca="1" si="1"/>
        <v>-6.8814040485652817E-2</v>
      </c>
      <c r="G18" s="46">
        <f ca="1">PEARSON(B18:E18,$T$5:$T$8)</f>
        <v>-5.4579267294762007E-2</v>
      </c>
      <c r="H18" s="46">
        <f ca="1">PEARSON(B18:E18,$U$5:$U$8)</f>
        <v>1.8122684557711769E-2</v>
      </c>
      <c r="I18" s="51">
        <f t="shared" ca="1" si="2"/>
        <v>0.7067359835617798</v>
      </c>
      <c r="J18" s="51">
        <f t="shared" ca="1" si="3"/>
        <v>9.2487861490608239E-2</v>
      </c>
      <c r="K18" s="51"/>
      <c r="L18" s="51"/>
      <c r="M18" t="str">
        <f ca="1">IF(F18&gt;0.955,"Signficant","No")</f>
        <v>No</v>
      </c>
      <c r="N18" t="str">
        <f t="shared" ca="1" si="8"/>
        <v>No</v>
      </c>
      <c r="O18" t="str">
        <f t="shared" ca="1" si="9"/>
        <v>No</v>
      </c>
      <c r="R18" t="s">
        <v>498</v>
      </c>
      <c r="S18">
        <v>6.2976920188016203</v>
      </c>
      <c r="T18">
        <v>0.89448360814332695</v>
      </c>
      <c r="U18">
        <v>6.6107177565660704</v>
      </c>
      <c r="V18">
        <v>0.91326127159688497</v>
      </c>
      <c r="W18">
        <v>2.7994094320715801</v>
      </c>
      <c r="X18">
        <v>9.5533813997801609</v>
      </c>
      <c r="Y18">
        <v>4.3946552220831707</v>
      </c>
      <c r="Z18">
        <v>22.518947569072299</v>
      </c>
      <c r="AA18">
        <v>9.5533813997801609</v>
      </c>
    </row>
    <row r="19" spans="1:27" ht="16" x14ac:dyDescent="0.2">
      <c r="A19" s="37" t="s">
        <v>30</v>
      </c>
      <c r="B19" s="42">
        <f>B6C3F1!H20</f>
        <v>13.157894736842104</v>
      </c>
      <c r="C19" s="27">
        <f ca="1">'BALB cByJ'!I19</f>
        <v>2.5</v>
      </c>
      <c r="D19" s="27">
        <f>CBA!I19</f>
        <v>24.53</v>
      </c>
      <c r="E19" s="28">
        <f ca="1">'C57BL6J'!I19</f>
        <v>2.2847222222222223</v>
      </c>
      <c r="F19" s="46">
        <f t="shared" ca="1" si="1"/>
        <v>0.6908439684042027</v>
      </c>
      <c r="G19" s="46">
        <f ca="1">PEARSON(B19:E19,$T$5:$T$8)</f>
        <v>0.93896312979328922</v>
      </c>
      <c r="H19" s="46">
        <f ca="1">PEARSON(B19:E19,$U$5:$U$8)</f>
        <v>0.76490425244657412</v>
      </c>
      <c r="I19" s="51">
        <f t="shared" ca="1" si="2"/>
        <v>-0.41276101361312817</v>
      </c>
      <c r="J19" s="51">
        <f t="shared" ca="1" si="3"/>
        <v>0.56609903304380582</v>
      </c>
      <c r="K19" s="51"/>
      <c r="L19" s="51"/>
      <c r="M19" t="str">
        <f ca="1">IF(F19&gt;0.955,"Signficant","No")</f>
        <v>No</v>
      </c>
      <c r="N19" t="str">
        <f t="shared" ca="1" si="8"/>
        <v>No</v>
      </c>
      <c r="O19" t="str">
        <f t="shared" ca="1" si="9"/>
        <v>No</v>
      </c>
      <c r="R19" t="s">
        <v>499</v>
      </c>
      <c r="S19">
        <v>4.0569214068125197</v>
      </c>
      <c r="T19">
        <v>0.80669125205743997</v>
      </c>
      <c r="U19">
        <v>4.9886443193071601</v>
      </c>
      <c r="V19">
        <v>0.880612063032012</v>
      </c>
      <c r="W19">
        <v>2.0871700343307902</v>
      </c>
      <c r="X19">
        <v>10.572801305319301</v>
      </c>
      <c r="Y19">
        <v>5.6815990172937889</v>
      </c>
      <c r="Z19">
        <v>25.233659695153499</v>
      </c>
      <c r="AA19">
        <v>10.572801305319301</v>
      </c>
    </row>
    <row r="20" spans="1:27" ht="16" x14ac:dyDescent="0.2">
      <c r="A20" s="37" t="s">
        <v>31</v>
      </c>
      <c r="B20" s="42">
        <f>B6C3F1!H21</f>
        <v>9.3000000000000007</v>
      </c>
      <c r="C20" s="27">
        <f ca="1">'BALB cByJ'!I20</f>
        <v>4.375</v>
      </c>
      <c r="D20" s="27">
        <f>CBA!I20</f>
        <v>5.5</v>
      </c>
      <c r="E20" s="28">
        <f ca="1">'C57BL6J'!I20</f>
        <v>3.2857142857142856</v>
      </c>
      <c r="F20" s="46">
        <f t="shared" ca="1" si="1"/>
        <v>-0.16995283602914096</v>
      </c>
      <c r="G20" s="46">
        <f ca="1">PEARSON(B20:E20,$T$5:$T$8)</f>
        <v>0.16861528981506596</v>
      </c>
      <c r="H20" s="46">
        <f ca="1">PEARSON(B20:E20,$U$5:$U$8)</f>
        <v>-0.13708792648938078</v>
      </c>
      <c r="I20" s="51">
        <f t="shared" ca="1" si="2"/>
        <v>-0.17771471770456077</v>
      </c>
      <c r="J20" s="51">
        <f t="shared" ca="1" si="3"/>
        <v>-0.37299232212590067</v>
      </c>
      <c r="K20" s="51"/>
      <c r="L20" s="51"/>
      <c r="M20" t="str">
        <f ca="1">IF(F20&gt;0.955,"Signficant","No")</f>
        <v>No</v>
      </c>
      <c r="N20" t="str">
        <f t="shared" ca="1" si="8"/>
        <v>No</v>
      </c>
      <c r="O20" t="str">
        <f t="shared" ca="1" si="9"/>
        <v>No</v>
      </c>
      <c r="R20" t="s">
        <v>500</v>
      </c>
      <c r="S20">
        <v>4.4745192678947001</v>
      </c>
      <c r="T20">
        <v>0.91842112661123498</v>
      </c>
      <c r="U20">
        <v>5.63260117879791</v>
      </c>
      <c r="V20">
        <v>0.93238515028481805</v>
      </c>
      <c r="W20">
        <v>2.18623492436731</v>
      </c>
      <c r="X20">
        <v>13.1865401561671</v>
      </c>
      <c r="Y20">
        <v>7.6177345921737887</v>
      </c>
      <c r="Z20">
        <v>22.224782747327101</v>
      </c>
      <c r="AA20">
        <v>13.1865401561671</v>
      </c>
    </row>
    <row r="21" spans="1:27" ht="16" x14ac:dyDescent="0.2">
      <c r="A21" s="37" t="s">
        <v>86</v>
      </c>
      <c r="B21" s="42">
        <f>B6C3F1!H22</f>
        <v>14</v>
      </c>
      <c r="C21" s="27" t="e">
        <f ca="1">'BALB cByJ'!I21</f>
        <v>#DIV/0!</v>
      </c>
      <c r="D21" s="27" t="e">
        <f>CBA!I21</f>
        <v>#DIV/0!</v>
      </c>
      <c r="E21" s="28" t="e">
        <f ca="1">'C57BL6J'!I21</f>
        <v>#DIV/0!</v>
      </c>
      <c r="F21" s="46" t="e">
        <f t="shared" ca="1" si="1"/>
        <v>#DIV/0!</v>
      </c>
      <c r="G21" s="46"/>
      <c r="H21" s="46"/>
      <c r="I21" s="51" t="e">
        <f t="shared" ca="1" si="2"/>
        <v>#DIV/0!</v>
      </c>
      <c r="J21" s="51" t="e">
        <f t="shared" ca="1" si="3"/>
        <v>#DIV/0!</v>
      </c>
      <c r="K21" s="51"/>
      <c r="L21" s="51"/>
      <c r="R21" t="s">
        <v>501</v>
      </c>
      <c r="S21">
        <v>8.90225792905383</v>
      </c>
      <c r="T21">
        <v>0.913763662669698</v>
      </c>
      <c r="U21">
        <v>6.0399520985349904</v>
      </c>
      <c r="V21">
        <v>0.91337873170448503</v>
      </c>
      <c r="W21">
        <v>3.5157899288180801</v>
      </c>
      <c r="X21">
        <v>10.433571432128501</v>
      </c>
      <c r="Y21">
        <v>4.4387625197935812</v>
      </c>
      <c r="Z21">
        <v>29.749116416146599</v>
      </c>
      <c r="AA21">
        <v>10.433571432128501</v>
      </c>
    </row>
    <row r="22" spans="1:27" ht="16" x14ac:dyDescent="0.2">
      <c r="A22" s="37" t="s">
        <v>32</v>
      </c>
      <c r="B22" s="42">
        <f>B6C3F1!H23</f>
        <v>1.4</v>
      </c>
      <c r="C22" s="27">
        <f ca="1">'BALB cByJ'!I22</f>
        <v>2.2916666666666665</v>
      </c>
      <c r="D22" s="27">
        <f>CBA!I22</f>
        <v>34.875</v>
      </c>
      <c r="E22" s="28">
        <f ca="1">'C57BL6J'!I22</f>
        <v>0.7</v>
      </c>
      <c r="F22" s="46">
        <f t="shared" ca="1" si="1"/>
        <v>0.91442433407779666</v>
      </c>
      <c r="G22" s="46">
        <f ca="1">PEARSON(B22:E22,$T$5:$T$8)</f>
        <v>0.97797442077404195</v>
      </c>
      <c r="H22" s="46">
        <f ca="1">PEARSON(B22:E22,$U$5:$U$8)</f>
        <v>0.9639030766073956</v>
      </c>
      <c r="I22" s="51">
        <f t="shared" ca="1" si="2"/>
        <v>-0.47517661532551264</v>
      </c>
      <c r="J22" s="51">
        <f t="shared" ca="1" si="3"/>
        <v>0.87600050829156517</v>
      </c>
      <c r="K22" s="51"/>
      <c r="L22" s="51"/>
      <c r="M22" t="str">
        <f ca="1">IF(F22&gt;0.955,"Signficant","No")</f>
        <v>No</v>
      </c>
      <c r="N22" t="str">
        <f t="shared" ref="N22" ca="1" si="10">IF(G22&gt;0.955,"Signficant","No")</f>
        <v>Signficant</v>
      </c>
      <c r="O22" t="str">
        <f t="shared" ref="O22" ca="1" si="11">IF(H22&gt;0.955,"Signficant","No")</f>
        <v>Signficant</v>
      </c>
      <c r="R22" t="s">
        <v>502</v>
      </c>
      <c r="S22">
        <v>4.3812192056739097</v>
      </c>
      <c r="T22">
        <v>0.873669463796096</v>
      </c>
      <c r="U22">
        <v>7.0696550228495898</v>
      </c>
      <c r="V22">
        <v>0.87461235076312305</v>
      </c>
      <c r="W22">
        <v>2.4594587532301402</v>
      </c>
      <c r="X22">
        <v>10.595603132656301</v>
      </c>
      <c r="Y22">
        <v>4.0301495172584278</v>
      </c>
      <c r="Z22">
        <v>20.8303716252741</v>
      </c>
      <c r="AA22">
        <v>10.595603132656301</v>
      </c>
    </row>
    <row r="23" spans="1:27" ht="16" x14ac:dyDescent="0.2">
      <c r="A23" s="37" t="s">
        <v>133</v>
      </c>
      <c r="B23" s="42">
        <f>B6C3F1!H24</f>
        <v>1.2809523809523811</v>
      </c>
      <c r="C23" s="27" t="e">
        <f ca="1">'BALB cByJ'!I23</f>
        <v>#DIV/0!</v>
      </c>
      <c r="D23" s="27">
        <f>CBA!I23</f>
        <v>1.75</v>
      </c>
      <c r="E23" s="28">
        <f ca="1">'C57BL6J'!I23</f>
        <v>1.8545454545454545</v>
      </c>
      <c r="F23" s="46" t="e">
        <f t="shared" ca="1" si="1"/>
        <v>#DIV/0!</v>
      </c>
      <c r="G23" s="46"/>
      <c r="H23" s="46"/>
      <c r="I23" s="51" t="e">
        <f t="shared" ca="1" si="2"/>
        <v>#DIV/0!</v>
      </c>
      <c r="J23" s="51" t="e">
        <f t="shared" ca="1" si="3"/>
        <v>#DIV/0!</v>
      </c>
      <c r="K23" s="51"/>
      <c r="L23" s="51"/>
      <c r="R23" t="s">
        <v>503</v>
      </c>
      <c r="S23">
        <v>5.5489078009072799</v>
      </c>
      <c r="T23">
        <v>0.88819076990722301</v>
      </c>
      <c r="U23">
        <v>5.3096925654526697</v>
      </c>
      <c r="V23">
        <v>0.902077960146075</v>
      </c>
      <c r="W23">
        <v>2.1468568252481899</v>
      </c>
      <c r="X23">
        <v>8.4612111253032207</v>
      </c>
      <c r="Y23">
        <v>4.8774590513403089</v>
      </c>
      <c r="Z23">
        <v>22.592091985028699</v>
      </c>
      <c r="AA23">
        <v>8.4612111253032207</v>
      </c>
    </row>
    <row r="24" spans="1:27" ht="16" x14ac:dyDescent="0.2">
      <c r="A24" s="37" t="s">
        <v>91</v>
      </c>
      <c r="B24" s="42">
        <f>B6C3F1!H25</f>
        <v>0.27500000000000002</v>
      </c>
      <c r="C24" s="27" t="e">
        <f ca="1">'BALB cByJ'!I24</f>
        <v>#DIV/0!</v>
      </c>
      <c r="D24" s="27" t="e">
        <f>CBA!I24</f>
        <v>#DIV/0!</v>
      </c>
      <c r="E24" s="28" t="e">
        <f ca="1">'C57BL6J'!I24</f>
        <v>#DIV/0!</v>
      </c>
      <c r="F24" s="46" t="e">
        <f t="shared" ca="1" si="1"/>
        <v>#DIV/0!</v>
      </c>
      <c r="G24" s="46"/>
      <c r="H24" s="46"/>
      <c r="I24" s="51" t="e">
        <f t="shared" ca="1" si="2"/>
        <v>#DIV/0!</v>
      </c>
      <c r="J24" s="51" t="e">
        <f t="shared" ca="1" si="3"/>
        <v>#DIV/0!</v>
      </c>
      <c r="K24" s="51"/>
      <c r="L24" s="51"/>
      <c r="R24" t="s">
        <v>504</v>
      </c>
      <c r="S24">
        <v>5.5857589778162504</v>
      </c>
      <c r="T24">
        <v>0.88437859438123001</v>
      </c>
      <c r="U24">
        <v>6.0683044280957397</v>
      </c>
      <c r="V24">
        <v>0.875893729163569</v>
      </c>
      <c r="W24">
        <v>2.3337506264931598</v>
      </c>
      <c r="X24">
        <v>9.52007897397025</v>
      </c>
      <c r="Y24">
        <v>4.4026523907843389</v>
      </c>
      <c r="Z24">
        <v>24.045980244816899</v>
      </c>
      <c r="AA24">
        <v>9.52007897397025</v>
      </c>
    </row>
    <row r="25" spans="1:27" ht="16" x14ac:dyDescent="0.2">
      <c r="A25" s="37" t="s">
        <v>134</v>
      </c>
      <c r="B25" s="42">
        <f>B6C3F1!H26</f>
        <v>0.86363636363636365</v>
      </c>
      <c r="C25" s="27">
        <f ca="1">'BALB cByJ'!I25</f>
        <v>2.1</v>
      </c>
      <c r="D25" s="27" t="e">
        <f>CBA!I25</f>
        <v>#DIV/0!</v>
      </c>
      <c r="E25" s="28">
        <f ca="1">'C57BL6J'!I25</f>
        <v>0.9285714285714286</v>
      </c>
      <c r="F25" s="46" t="e">
        <f t="shared" ca="1" si="1"/>
        <v>#DIV/0!</v>
      </c>
      <c r="G25" s="46"/>
      <c r="H25" s="46"/>
      <c r="I25" s="51" t="e">
        <f t="shared" ca="1" si="2"/>
        <v>#DIV/0!</v>
      </c>
      <c r="J25" s="51" t="e">
        <f t="shared" ca="1" si="3"/>
        <v>#DIV/0!</v>
      </c>
      <c r="K25" s="51"/>
      <c r="L25" s="51"/>
      <c r="R25" t="s">
        <v>505</v>
      </c>
      <c r="S25">
        <v>5.7273693105038097</v>
      </c>
      <c r="T25">
        <v>0.91167249284813301</v>
      </c>
      <c r="U25">
        <v>6.2942191730993402</v>
      </c>
      <c r="V25">
        <v>0.90868826440936501</v>
      </c>
      <c r="W25">
        <v>2.25120318264787</v>
      </c>
      <c r="X25">
        <v>10.441242318374099</v>
      </c>
      <c r="Y25">
        <v>5.3569471452045594</v>
      </c>
      <c r="Z25">
        <v>24.291689437645999</v>
      </c>
      <c r="AA25">
        <v>10.441242318374099</v>
      </c>
    </row>
    <row r="26" spans="1:27" ht="16" x14ac:dyDescent="0.2">
      <c r="A26" s="37" t="s">
        <v>96</v>
      </c>
      <c r="B26" s="42">
        <f>B6C3F1!H27</f>
        <v>1</v>
      </c>
      <c r="C26" s="27">
        <f ca="1">'BALB cByJ'!I26</f>
        <v>2.5</v>
      </c>
      <c r="D26" s="27" t="e">
        <f>CBA!I26</f>
        <v>#DIV/0!</v>
      </c>
      <c r="E26" s="28" t="e">
        <f ca="1">'C57BL6J'!I26</f>
        <v>#DIV/0!</v>
      </c>
      <c r="F26" s="46" t="e">
        <f t="shared" ca="1" si="1"/>
        <v>#DIV/0!</v>
      </c>
      <c r="G26" s="46"/>
      <c r="H26" s="46"/>
      <c r="I26" s="51" t="e">
        <f t="shared" ca="1" si="2"/>
        <v>#DIV/0!</v>
      </c>
      <c r="J26" s="51" t="e">
        <f t="shared" ca="1" si="3"/>
        <v>#DIV/0!</v>
      </c>
      <c r="K26" s="51"/>
      <c r="L26" s="51"/>
      <c r="R26" t="s">
        <v>506</v>
      </c>
      <c r="S26">
        <v>5.1274601308188101</v>
      </c>
      <c r="T26">
        <v>0.88178370700077402</v>
      </c>
      <c r="U26">
        <v>5.8920583169312097</v>
      </c>
      <c r="V26">
        <v>0.89578155423572203</v>
      </c>
      <c r="W26">
        <v>2.6616121383218401</v>
      </c>
      <c r="X26">
        <v>9.6199853710877896</v>
      </c>
      <c r="Y26">
        <v>3.8530935242032207</v>
      </c>
      <c r="Z26">
        <v>36.582014723009003</v>
      </c>
      <c r="AA26">
        <v>9.6199853710877896</v>
      </c>
    </row>
    <row r="27" spans="1:27" ht="16" x14ac:dyDescent="0.2">
      <c r="A27" s="37" t="s">
        <v>135</v>
      </c>
      <c r="B27" s="42">
        <f>B6C3F1!H28</f>
        <v>1</v>
      </c>
      <c r="C27" s="27" t="e">
        <f ca="1">'BALB cByJ'!I27</f>
        <v>#DIV/0!</v>
      </c>
      <c r="D27" s="27" t="e">
        <f>CBA!I27</f>
        <v>#DIV/0!</v>
      </c>
      <c r="E27" s="28" t="e">
        <f ca="1">'C57BL6J'!I27</f>
        <v>#DIV/0!</v>
      </c>
      <c r="F27" s="46" t="e">
        <f t="shared" ca="1" si="1"/>
        <v>#DIV/0!</v>
      </c>
      <c r="G27" s="46"/>
      <c r="H27" s="46"/>
      <c r="I27" s="51" t="e">
        <f t="shared" ca="1" si="2"/>
        <v>#DIV/0!</v>
      </c>
      <c r="J27" s="51" t="e">
        <f t="shared" ca="1" si="3"/>
        <v>#DIV/0!</v>
      </c>
      <c r="K27" s="51"/>
      <c r="L27" s="51"/>
    </row>
    <row r="28" spans="1:27" ht="16" x14ac:dyDescent="0.2">
      <c r="A28" s="37" t="s">
        <v>56</v>
      </c>
      <c r="B28" s="42">
        <f>B6C3F1!H29</f>
        <v>1.1533333333333333</v>
      </c>
      <c r="C28" s="27">
        <f ca="1">'BALB cByJ'!I28</f>
        <v>14.5</v>
      </c>
      <c r="D28" s="27">
        <f>CBA!I28</f>
        <v>1.788888888888889</v>
      </c>
      <c r="E28" s="28">
        <f ca="1">'C57BL6J'!I28</f>
        <v>2.0357142857142856</v>
      </c>
      <c r="F28" s="46">
        <f t="shared" ca="1" si="1"/>
        <v>0.12513269901716567</v>
      </c>
      <c r="G28" s="46">
        <f ca="1">PEARSON(B28:E28,$T$5:$T$8)</f>
        <v>-0.28469578289698594</v>
      </c>
      <c r="H28" s="46">
        <f ca="1">PEARSON(B28:E28,$U$5:$U$8)</f>
        <v>-2.1655434517772795E-2</v>
      </c>
      <c r="I28" s="51">
        <f t="shared" ca="1" si="2"/>
        <v>-0.54854092608880844</v>
      </c>
      <c r="J28" s="51">
        <f t="shared" ca="1" si="3"/>
        <v>0.1724076133697931</v>
      </c>
      <c r="K28" s="51"/>
      <c r="L28" s="51"/>
      <c r="M28" t="str">
        <f ca="1">IF(F28&gt;0.955,"Signficant","No")</f>
        <v>No</v>
      </c>
      <c r="N28" t="str">
        <f t="shared" ref="N28:N29" ca="1" si="12">IF(G28&gt;0.955,"Signficant","No")</f>
        <v>No</v>
      </c>
      <c r="O28" t="str">
        <f t="shared" ref="O28:O29" ca="1" si="13">IF(H28&gt;0.955,"Signficant","No")</f>
        <v>No</v>
      </c>
    </row>
    <row r="29" spans="1:27" ht="16" x14ac:dyDescent="0.2">
      <c r="A29" s="37" t="s">
        <v>45</v>
      </c>
      <c r="B29" s="42">
        <f>B6C3F1!H30</f>
        <v>1.6666666666666667</v>
      </c>
      <c r="C29" s="27">
        <f ca="1">'BALB cByJ'!I29</f>
        <v>1.875</v>
      </c>
      <c r="D29" s="27">
        <f>CBA!I29</f>
        <v>15.25</v>
      </c>
      <c r="E29" s="28">
        <f ca="1">'C57BL6J'!I29</f>
        <v>0.625</v>
      </c>
      <c r="F29" s="46">
        <f t="shared" ca="1" si="1"/>
        <v>0.91895647572609118</v>
      </c>
      <c r="G29" s="46">
        <f ca="1">PEARSON(B29:E29,$T$5:$T$8)</f>
        <v>0.98621981402854597</v>
      </c>
      <c r="H29" s="46">
        <f ca="1">PEARSON(B29:E29,$U$5:$U$8)</f>
        <v>0.96570902296923888</v>
      </c>
      <c r="I29" s="51">
        <f t="shared" ca="1" si="2"/>
        <v>-0.50632082924237487</v>
      </c>
      <c r="J29" s="51">
        <f t="shared" ca="1" si="3"/>
        <v>0.87181019668913962</v>
      </c>
      <c r="K29" s="51"/>
      <c r="L29" s="51"/>
      <c r="M29" t="str">
        <f ca="1">IF(F29&gt;0.955,"Signficant","No")</f>
        <v>No</v>
      </c>
      <c r="N29" t="str">
        <f t="shared" ca="1" si="12"/>
        <v>Signficant</v>
      </c>
      <c r="O29" t="str">
        <f t="shared" ca="1" si="13"/>
        <v>Signficant</v>
      </c>
    </row>
    <row r="30" spans="1:27" ht="16" x14ac:dyDescent="0.2">
      <c r="A30" s="37" t="s">
        <v>103</v>
      </c>
      <c r="B30" s="42">
        <f>B6C3F1!H31</f>
        <v>1</v>
      </c>
      <c r="C30" s="27" t="e">
        <f ca="1">'BALB cByJ'!I30</f>
        <v>#DIV/0!</v>
      </c>
      <c r="D30" s="27" t="e">
        <f>CBA!I30</f>
        <v>#DIV/0!</v>
      </c>
      <c r="E30" s="28" t="e">
        <f ca="1">'C57BL6J'!I30</f>
        <v>#DIV/0!</v>
      </c>
      <c r="F30" s="46" t="e">
        <f t="shared" ca="1" si="1"/>
        <v>#DIV/0!</v>
      </c>
      <c r="G30" s="46"/>
      <c r="H30" s="46"/>
      <c r="I30" s="51" t="e">
        <f t="shared" ca="1" si="2"/>
        <v>#DIV/0!</v>
      </c>
      <c r="J30" s="51" t="e">
        <f t="shared" ca="1" si="3"/>
        <v>#DIV/0!</v>
      </c>
      <c r="K30" s="51"/>
      <c r="L30" s="51"/>
    </row>
    <row r="31" spans="1:27" ht="16" x14ac:dyDescent="0.2">
      <c r="A31" s="37" t="s">
        <v>107</v>
      </c>
      <c r="B31" s="42">
        <f>B6C3F1!H32</f>
        <v>8.6</v>
      </c>
      <c r="C31" s="27" t="e">
        <f ca="1">'BALB cByJ'!I31</f>
        <v>#DIV/0!</v>
      </c>
      <c r="D31" s="27">
        <f>CBA!I31</f>
        <v>0</v>
      </c>
      <c r="E31" s="28">
        <f ca="1">'C57BL6J'!I31</f>
        <v>7.8392857142857144</v>
      </c>
      <c r="F31" s="46" t="e">
        <f t="shared" ca="1" si="1"/>
        <v>#DIV/0!</v>
      </c>
      <c r="G31" s="46"/>
      <c r="H31" s="46"/>
      <c r="I31" s="51" t="e">
        <f t="shared" ca="1" si="2"/>
        <v>#DIV/0!</v>
      </c>
      <c r="J31" s="51" t="e">
        <f t="shared" ca="1" si="3"/>
        <v>#DIV/0!</v>
      </c>
      <c r="K31" s="51"/>
      <c r="L31" s="51"/>
    </row>
    <row r="32" spans="1:27" ht="16" x14ac:dyDescent="0.2">
      <c r="A32" s="37" t="s">
        <v>108</v>
      </c>
      <c r="B32" s="42">
        <f>B6C3F1!H33</f>
        <v>1</v>
      </c>
      <c r="C32" s="27" t="e">
        <f ca="1">'BALB cByJ'!I32</f>
        <v>#DIV/0!</v>
      </c>
      <c r="D32" s="27" t="e">
        <f>CBA!I32</f>
        <v>#DIV/0!</v>
      </c>
      <c r="E32" s="28" t="e">
        <f ca="1">'C57BL6J'!I32</f>
        <v>#DIV/0!</v>
      </c>
      <c r="F32" s="46" t="e">
        <f t="shared" ca="1" si="1"/>
        <v>#DIV/0!</v>
      </c>
      <c r="G32" s="46"/>
      <c r="H32" s="46"/>
      <c r="I32" s="51" t="e">
        <f t="shared" ca="1" si="2"/>
        <v>#DIV/0!</v>
      </c>
      <c r="J32" s="51" t="e">
        <f t="shared" ca="1" si="3"/>
        <v>#DIV/0!</v>
      </c>
      <c r="K32" s="51"/>
      <c r="L32" s="51"/>
    </row>
    <row r="33" spans="1:15" ht="16" x14ac:dyDescent="0.2">
      <c r="A33" s="37" t="s">
        <v>101</v>
      </c>
      <c r="B33" s="42">
        <f>B6C3F1!H34</f>
        <v>1.03</v>
      </c>
      <c r="C33" s="27" t="e">
        <f ca="1">'BALB cByJ'!I33</f>
        <v>#DIV/0!</v>
      </c>
      <c r="D33" s="27" t="e">
        <f>CBA!I33</f>
        <v>#DIV/0!</v>
      </c>
      <c r="E33" s="28" t="e">
        <f ca="1">'C57BL6J'!I33</f>
        <v>#DIV/0!</v>
      </c>
      <c r="F33" s="46" t="e">
        <f t="shared" ca="1" si="1"/>
        <v>#DIV/0!</v>
      </c>
      <c r="G33" s="46"/>
      <c r="H33" s="46"/>
      <c r="I33" s="51" t="e">
        <f t="shared" ca="1" si="2"/>
        <v>#DIV/0!</v>
      </c>
      <c r="J33" s="51" t="e">
        <f t="shared" ca="1" si="3"/>
        <v>#DIV/0!</v>
      </c>
      <c r="K33" s="51"/>
      <c r="L33" s="51"/>
    </row>
    <row r="34" spans="1:15" ht="16" x14ac:dyDescent="0.2">
      <c r="A34" s="37" t="s">
        <v>34</v>
      </c>
      <c r="B34" s="42">
        <f>B6C3F1!H35</f>
        <v>0.27500000000000002</v>
      </c>
      <c r="C34" s="27" t="e">
        <f ca="1">'BALB cByJ'!I34</f>
        <v>#DIV/0!</v>
      </c>
      <c r="D34" s="27" t="e">
        <f>CBA!I34</f>
        <v>#DIV/0!</v>
      </c>
      <c r="E34" s="28" t="e">
        <f ca="1">'C57BL6J'!I34</f>
        <v>#DIV/0!</v>
      </c>
      <c r="F34" s="46" t="e">
        <f t="shared" ca="1" si="1"/>
        <v>#DIV/0!</v>
      </c>
      <c r="G34" s="46"/>
      <c r="H34" s="46"/>
      <c r="I34" s="51" t="e">
        <f t="shared" ca="1" si="2"/>
        <v>#DIV/0!</v>
      </c>
      <c r="J34" s="51" t="e">
        <f t="shared" ca="1" si="3"/>
        <v>#DIV/0!</v>
      </c>
      <c r="K34" s="51"/>
      <c r="L34" s="51"/>
    </row>
    <row r="35" spans="1:15" ht="16" x14ac:dyDescent="0.2">
      <c r="A35" s="37" t="s">
        <v>110</v>
      </c>
      <c r="B35" s="42">
        <f>B6C3F1!H36</f>
        <v>0</v>
      </c>
      <c r="C35" s="27" t="e">
        <f ca="1">'BALB cByJ'!I35</f>
        <v>#DIV/0!</v>
      </c>
      <c r="D35" s="27" t="e">
        <f>CBA!I35</f>
        <v>#DIV/0!</v>
      </c>
      <c r="E35" s="28" t="e">
        <f ca="1">'C57BL6J'!I35</f>
        <v>#DIV/0!</v>
      </c>
      <c r="F35" s="46" t="e">
        <f t="shared" ca="1" si="1"/>
        <v>#DIV/0!</v>
      </c>
      <c r="G35" s="46"/>
      <c r="H35" s="46"/>
      <c r="I35" s="51" t="e">
        <f t="shared" ca="1" si="2"/>
        <v>#DIV/0!</v>
      </c>
      <c r="J35" s="51" t="e">
        <f t="shared" ca="1" si="3"/>
        <v>#DIV/0!</v>
      </c>
      <c r="K35" s="51"/>
      <c r="L35" s="51"/>
    </row>
    <row r="36" spans="1:15" ht="16" x14ac:dyDescent="0.2">
      <c r="A36" s="37" t="s">
        <v>112</v>
      </c>
      <c r="B36" s="42">
        <f>B6C3F1!H37</f>
        <v>1</v>
      </c>
      <c r="C36" s="27" t="e">
        <f ca="1">'BALB cByJ'!I36</f>
        <v>#DIV/0!</v>
      </c>
      <c r="D36" s="27" t="e">
        <f>CBA!I36</f>
        <v>#DIV/0!</v>
      </c>
      <c r="E36" s="28" t="e">
        <f ca="1">'C57BL6J'!I36</f>
        <v>#DIV/0!</v>
      </c>
      <c r="F36" s="46" t="e">
        <f t="shared" ca="1" si="1"/>
        <v>#DIV/0!</v>
      </c>
      <c r="G36" s="46"/>
      <c r="H36" s="46"/>
      <c r="I36" s="51" t="e">
        <f t="shared" ca="1" si="2"/>
        <v>#DIV/0!</v>
      </c>
      <c r="J36" s="51" t="e">
        <f t="shared" ca="1" si="3"/>
        <v>#DIV/0!</v>
      </c>
      <c r="K36" s="51"/>
      <c r="L36" s="51"/>
    </row>
    <row r="37" spans="1:15" ht="16" x14ac:dyDescent="0.2">
      <c r="A37" s="37" t="s">
        <v>37</v>
      </c>
      <c r="B37" s="42">
        <f>B6C3F1!H38</f>
        <v>0.91500000000000004</v>
      </c>
      <c r="C37" s="27">
        <f ca="1">'BALB cByJ'!I37</f>
        <v>0.3125</v>
      </c>
      <c r="D37" s="27">
        <f>CBA!I37</f>
        <v>0</v>
      </c>
      <c r="E37" s="28">
        <f ca="1">'C57BL6J'!I37</f>
        <v>1.5333333333333334</v>
      </c>
      <c r="F37" s="46">
        <f t="shared" ca="1" si="1"/>
        <v>-0.88965287944260985</v>
      </c>
      <c r="G37" s="46">
        <f ca="1">PEARSON(B37:E37,$T$5:$T$8)</f>
        <v>-0.77011802499694026</v>
      </c>
      <c r="H37" s="46">
        <f ca="1">PEARSON(B37:E37,$U$5:$U$8)</f>
        <v>-0.83433737062904956</v>
      </c>
      <c r="I37" s="51">
        <f t="shared" ca="1" si="2"/>
        <v>0.95809449479171427</v>
      </c>
      <c r="J37" s="51">
        <f t="shared" ca="1" si="3"/>
        <v>-0.8041101367062492</v>
      </c>
      <c r="K37" s="51"/>
      <c r="L37" s="51"/>
      <c r="M37" t="str">
        <f ca="1">IF(F37&gt;0.955,"Signficant","No")</f>
        <v>No</v>
      </c>
      <c r="N37" t="str">
        <f t="shared" ref="N37" ca="1" si="14">IF(G37&gt;0.955,"Signficant","No")</f>
        <v>No</v>
      </c>
      <c r="O37" t="str">
        <f t="shared" ref="O37" ca="1" si="15">IF(H37&gt;0.955,"Signficant","No")</f>
        <v>No</v>
      </c>
    </row>
    <row r="38" spans="1:15" ht="16" x14ac:dyDescent="0.2">
      <c r="A38" s="37" t="s">
        <v>66</v>
      </c>
      <c r="B38" s="42">
        <f>B6C3F1!H39</f>
        <v>1</v>
      </c>
      <c r="C38" s="27">
        <f ca="1">'BALB cByJ'!I38</f>
        <v>2.8125</v>
      </c>
      <c r="D38" s="27" t="e">
        <f>CBA!I38</f>
        <v>#DIV/0!</v>
      </c>
      <c r="E38" s="28">
        <f ca="1">'C57BL6J'!I38</f>
        <v>2.8</v>
      </c>
      <c r="F38" s="46" t="e">
        <f t="shared" ca="1" si="1"/>
        <v>#DIV/0!</v>
      </c>
      <c r="G38" s="46"/>
      <c r="H38" s="46"/>
      <c r="I38" s="51" t="e">
        <f t="shared" ca="1" si="2"/>
        <v>#DIV/0!</v>
      </c>
      <c r="J38" s="51" t="e">
        <f t="shared" ca="1" si="3"/>
        <v>#DIV/0!</v>
      </c>
      <c r="K38" s="51"/>
      <c r="L38" s="51"/>
    </row>
    <row r="39" spans="1:15" ht="16" x14ac:dyDescent="0.2">
      <c r="A39" s="37" t="s">
        <v>51</v>
      </c>
      <c r="B39" s="42">
        <f>B6C3F1!H40</f>
        <v>1.1333333333333333</v>
      </c>
      <c r="C39" s="27">
        <f ca="1">'BALB cByJ'!I39</f>
        <v>0.83333333333333337</v>
      </c>
      <c r="D39" s="27" t="e">
        <f>CBA!I39</f>
        <v>#DIV/0!</v>
      </c>
      <c r="E39" s="28">
        <f ca="1">'C57BL6J'!I39</f>
        <v>1</v>
      </c>
      <c r="F39" s="46" t="e">
        <f t="shared" ca="1" si="1"/>
        <v>#DIV/0!</v>
      </c>
      <c r="G39" s="46"/>
      <c r="H39" s="46"/>
      <c r="I39" s="51" t="e">
        <f t="shared" ca="1" si="2"/>
        <v>#DIV/0!</v>
      </c>
      <c r="J39" s="51" t="e">
        <f t="shared" ca="1" si="3"/>
        <v>#DIV/0!</v>
      </c>
      <c r="K39" s="51"/>
      <c r="L39" s="51"/>
    </row>
    <row r="40" spans="1:15" ht="16" x14ac:dyDescent="0.2">
      <c r="A40" s="37" t="s">
        <v>119</v>
      </c>
      <c r="B40" s="42">
        <f>B6C3F1!H41</f>
        <v>1.5</v>
      </c>
      <c r="C40" s="27" t="e">
        <f ca="1">'BALB cByJ'!I40</f>
        <v>#DIV/0!</v>
      </c>
      <c r="D40" s="27" t="e">
        <f>CBA!I40</f>
        <v>#DIV/0!</v>
      </c>
      <c r="E40" s="28" t="e">
        <f ca="1">'C57BL6J'!I40</f>
        <v>#DIV/0!</v>
      </c>
      <c r="F40" s="46" t="e">
        <f t="shared" ca="1" si="1"/>
        <v>#DIV/0!</v>
      </c>
      <c r="G40" s="46"/>
      <c r="H40" s="46"/>
      <c r="I40" s="51" t="e">
        <f t="shared" ca="1" si="2"/>
        <v>#DIV/0!</v>
      </c>
      <c r="J40" s="51" t="e">
        <f t="shared" ca="1" si="3"/>
        <v>#DIV/0!</v>
      </c>
      <c r="K40" s="51"/>
      <c r="L40" s="51"/>
    </row>
    <row r="41" spans="1:15" ht="16" x14ac:dyDescent="0.2">
      <c r="A41" s="37" t="s">
        <v>122</v>
      </c>
      <c r="B41" s="42">
        <f>B6C3F1!H42</f>
        <v>2.5</v>
      </c>
      <c r="C41" s="27">
        <f ca="1">'BALB cByJ'!I41</f>
        <v>3.75</v>
      </c>
      <c r="D41" s="27">
        <f>CBA!I41</f>
        <v>16.666666666666668</v>
      </c>
      <c r="E41" s="28">
        <f ca="1">'C57BL6J'!I41</f>
        <v>3</v>
      </c>
      <c r="F41" s="46">
        <f t="shared" ca="1" si="1"/>
        <v>0.92711119859710867</v>
      </c>
      <c r="G41" s="46">
        <f ca="1">PEARSON(B41:E41,$T$5:$T$8)</f>
        <v>0.96673984862991003</v>
      </c>
      <c r="H41" s="46">
        <f ca="1">PEARSON(B41:E41,$U$5:$U$8)</f>
        <v>0.97242570884079482</v>
      </c>
      <c r="I41" s="51">
        <f t="shared" ca="1" si="2"/>
        <v>-0.47746524561822173</v>
      </c>
      <c r="J41" s="51">
        <f t="shared" ca="1" si="3"/>
        <v>0.89943338852296506</v>
      </c>
      <c r="K41" s="51"/>
      <c r="L41" s="51"/>
      <c r="M41" t="str">
        <f ca="1">IF(F41&gt;0.955,"Signficant","No")</f>
        <v>No</v>
      </c>
      <c r="N41" t="str">
        <f t="shared" ref="N41" ca="1" si="16">IF(G41&gt;0.955,"Signficant","No")</f>
        <v>Signficant</v>
      </c>
      <c r="O41" t="str">
        <f t="shared" ref="O41" ca="1" si="17">IF(H41&gt;0.955,"Signficant","No")</f>
        <v>Signficant</v>
      </c>
    </row>
    <row r="42" spans="1:15" ht="16" x14ac:dyDescent="0.2">
      <c r="A42" s="37" t="s">
        <v>123</v>
      </c>
      <c r="B42" s="42">
        <f>B6C3F1!H43</f>
        <v>2</v>
      </c>
      <c r="C42" s="27" t="e">
        <f ca="1">'BALB cByJ'!I42</f>
        <v>#DIV/0!</v>
      </c>
      <c r="D42" s="27" t="e">
        <f>CBA!I42</f>
        <v>#DIV/0!</v>
      </c>
      <c r="E42" s="28" t="e">
        <f ca="1">'C57BL6J'!I42</f>
        <v>#DIV/0!</v>
      </c>
      <c r="F42" s="46" t="e">
        <f t="shared" ca="1" si="1"/>
        <v>#DIV/0!</v>
      </c>
      <c r="G42" s="46"/>
      <c r="H42" s="46"/>
      <c r="I42" s="51" t="e">
        <f t="shared" ca="1" si="2"/>
        <v>#DIV/0!</v>
      </c>
      <c r="J42" s="51" t="e">
        <f t="shared" ca="1" si="3"/>
        <v>#DIV/0!</v>
      </c>
      <c r="K42" s="51"/>
      <c r="L42" s="51"/>
    </row>
    <row r="43" spans="1:15" ht="16" x14ac:dyDescent="0.2">
      <c r="A43" s="37" t="s">
        <v>125</v>
      </c>
      <c r="B43" s="42">
        <f>B6C3F1!H44</f>
        <v>1</v>
      </c>
      <c r="C43" s="27" t="e">
        <f ca="1">'BALB cByJ'!I43</f>
        <v>#DIV/0!</v>
      </c>
      <c r="D43" s="27" t="e">
        <f>CBA!I43</f>
        <v>#DIV/0!</v>
      </c>
      <c r="E43" s="28" t="e">
        <f ca="1">'C57BL6J'!I43</f>
        <v>#DIV/0!</v>
      </c>
      <c r="F43" s="46" t="e">
        <f t="shared" ca="1" si="1"/>
        <v>#DIV/0!</v>
      </c>
      <c r="G43" s="46"/>
      <c r="H43" s="46"/>
      <c r="I43" s="51" t="e">
        <f t="shared" ca="1" si="2"/>
        <v>#DIV/0!</v>
      </c>
      <c r="J43" s="51" t="e">
        <f t="shared" ca="1" si="3"/>
        <v>#DIV/0!</v>
      </c>
      <c r="K43" s="51"/>
      <c r="L43" s="51"/>
    </row>
    <row r="44" spans="1:15" ht="16" x14ac:dyDescent="0.2">
      <c r="A44" s="37" t="s">
        <v>55</v>
      </c>
      <c r="B44" s="42">
        <f>B6C3F1!H45</f>
        <v>2</v>
      </c>
      <c r="C44" s="27">
        <f ca="1">'BALB cByJ'!I44</f>
        <v>1.875</v>
      </c>
      <c r="D44" s="27">
        <f>CBA!I44</f>
        <v>8.9444444444444446</v>
      </c>
      <c r="E44" s="28">
        <f ca="1">'C57BL6J'!I44</f>
        <v>5.5</v>
      </c>
      <c r="F44" s="46">
        <f t="shared" ca="1" si="1"/>
        <v>0.66106299901456511</v>
      </c>
      <c r="G44" s="46">
        <f ca="1">PEARSON(B44:E44,$T$5:$T$8)</f>
        <v>0.73638904778401115</v>
      </c>
      <c r="H44" s="46">
        <f ca="1">PEARSON(B44:E44,$U$5:$U$8)</f>
        <v>0.75043018725608657</v>
      </c>
      <c r="I44" s="51">
        <f t="shared" ca="1" si="2"/>
        <v>2.249464478947957E-2</v>
      </c>
      <c r="J44" s="51">
        <f t="shared" ca="1" si="3"/>
        <v>0.71186956062662843</v>
      </c>
      <c r="K44" s="51"/>
      <c r="L44" s="51"/>
      <c r="M44" t="str">
        <f ca="1">IF(F44&gt;0.955,"Signficant","No")</f>
        <v>No</v>
      </c>
      <c r="N44" t="str">
        <f t="shared" ref="N44" ca="1" si="18">IF(G44&gt;0.955,"Signficant","No")</f>
        <v>No</v>
      </c>
      <c r="O44" t="str">
        <f t="shared" ref="O44" ca="1" si="19">IF(H44&gt;0.955,"Signficant","No")</f>
        <v>No</v>
      </c>
    </row>
    <row r="45" spans="1:15" ht="17" thickBot="1" x14ac:dyDescent="0.25">
      <c r="A45" s="38" t="s">
        <v>127</v>
      </c>
      <c r="B45" s="43">
        <f>B6C3F1!H46</f>
        <v>1</v>
      </c>
      <c r="C45" s="44" t="e">
        <f ca="1">'BALB cByJ'!I45</f>
        <v>#DIV/0!</v>
      </c>
      <c r="D45" s="44" t="e">
        <f>CBA!I45</f>
        <v>#DIV/0!</v>
      </c>
      <c r="E45" s="45" t="e">
        <f ca="1">'C57BL6J'!I45</f>
        <v>#DIV/0!</v>
      </c>
      <c r="F45" s="46" t="e">
        <f t="shared" ca="1" si="1"/>
        <v>#DIV/0!</v>
      </c>
      <c r="G45" s="46"/>
      <c r="H45" s="46"/>
      <c r="I45" s="51" t="e">
        <f t="shared" ca="1" si="2"/>
        <v>#DIV/0!</v>
      </c>
      <c r="J45" s="51" t="e">
        <f t="shared" ca="1" si="3"/>
        <v>#DIV/0!</v>
      </c>
      <c r="K45" s="51"/>
      <c r="L45" s="51"/>
    </row>
  </sheetData>
  <conditionalFormatting sqref="F2:L45">
    <cfRule type="cellIs" dxfId="1" priority="1" operator="lessThan">
      <formula>-0.88</formula>
    </cfRule>
    <cfRule type="cellIs" dxfId="0" priority="2" operator="greaterThan">
      <formula>0.88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Sheet3</vt:lpstr>
      <vt:lpstr>B6C3F1</vt:lpstr>
      <vt:lpstr>BALB cByJ</vt:lpstr>
      <vt:lpstr>CBA</vt:lpstr>
      <vt:lpstr>C3H</vt:lpstr>
      <vt:lpstr>C57BL6J</vt:lpstr>
      <vt:lpstr>Summary</vt:lpstr>
      <vt:lpstr>Summary_without C3H</vt:lpstr>
    </vt:vector>
  </TitlesOfParts>
  <Company>HPES ACES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Costes, Sylvain V. (ARC-SCR)</dc:creator>
  <cp:lastModifiedBy>Microsoft Office User</cp:lastModifiedBy>
  <dcterms:created xsi:type="dcterms:W3CDTF">2019-03-31T22:23:04Z</dcterms:created>
  <dcterms:modified xsi:type="dcterms:W3CDTF">2019-10-29T23:38:32Z</dcterms:modified>
</cp:coreProperties>
</file>